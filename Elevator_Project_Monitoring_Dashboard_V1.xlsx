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93a4a67333f63bb8/Desktop/Data Analysis Portfolio/Project 01 - Project monitoring Dashboard/"/>
    </mc:Choice>
  </mc:AlternateContent>
  <xr:revisionPtr revIDLastSave="1" documentId="8_{5FEE5DEE-5CD6-4AD9-842F-044989E158B0}" xr6:coauthVersionLast="47" xr6:coauthVersionMax="47" xr10:uidLastSave="{C6699B5D-BF65-4C0F-B699-5855CEE9CEC9}"/>
  <bookViews>
    <workbookView xWindow="7450" yWindow="0" windowWidth="11840" windowHeight="10170" activeTab="3" xr2:uid="{00000000-000D-0000-FFFF-FFFF00000000}"/>
  </bookViews>
  <sheets>
    <sheet name="Data" sheetId="1" r:id="rId1"/>
    <sheet name="Lists" sheetId="3" r:id="rId2"/>
    <sheet name="Pivot" sheetId="4" r:id="rId3"/>
    <sheet name="Dashboard" sheetId="5" r:id="rId4"/>
  </sheets>
  <definedNames>
    <definedName name="Slicer_Customer_Type">#N/A</definedName>
    <definedName name="Slicer_Region">#N/A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6" i="1" l="1"/>
  <c r="R15" i="1"/>
  <c r="R14" i="1"/>
  <c r="R13" i="1"/>
  <c r="R12" i="1"/>
  <c r="R11" i="1"/>
  <c r="Q3" i="1"/>
  <c r="Q2" i="1"/>
  <c r="O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 i="1"/>
  <c r="P4" i="1"/>
  <c r="P5" i="1"/>
  <c r="P6" i="1"/>
  <c r="P7" i="1"/>
  <c r="P8" i="1"/>
  <c r="P9" i="1"/>
  <c r="P10" i="1"/>
  <c r="P11" i="1"/>
  <c r="P12" i="1"/>
  <c r="P2" i="1"/>
  <c r="A312" i="1"/>
  <c r="A311" i="1"/>
  <c r="B140" i="5"/>
  <c r="B139" i="5"/>
  <c r="B137" i="5"/>
  <c r="B136" i="5"/>
  <c r="C127" i="5"/>
  <c r="A123" i="5"/>
  <c r="E106" i="5"/>
  <c r="E105" i="5"/>
  <c r="E104" i="5"/>
  <c r="A119" i="5"/>
  <c r="A111" i="5"/>
  <c r="A110" i="5"/>
  <c r="A109" i="5"/>
  <c r="A99" i="5"/>
  <c r="A98" i="5"/>
  <c r="N5" i="1"/>
  <c r="N7" i="1"/>
  <c r="N11"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12" i="1"/>
  <c r="I14" i="1"/>
  <c r="N14" i="1" s="1"/>
  <c r="I18" i="1"/>
  <c r="N18" i="1" s="1"/>
  <c r="I22" i="1"/>
  <c r="J22" i="1" s="1"/>
  <c r="I26" i="1"/>
  <c r="N26" i="1" s="1"/>
  <c r="I30" i="1"/>
  <c r="I34" i="1"/>
  <c r="I38" i="1"/>
  <c r="N38" i="1" s="1"/>
  <c r="I42" i="1"/>
  <c r="N42" i="1" s="1"/>
  <c r="I46" i="1"/>
  <c r="I50" i="1"/>
  <c r="N50" i="1" s="1"/>
  <c r="I54" i="1"/>
  <c r="N54" i="1" s="1"/>
  <c r="I58" i="1"/>
  <c r="N58" i="1" s="1"/>
  <c r="I62" i="1"/>
  <c r="I66" i="1"/>
  <c r="I70" i="1"/>
  <c r="N70" i="1" s="1"/>
  <c r="I74" i="1"/>
  <c r="N74" i="1" s="1"/>
  <c r="I78" i="1"/>
  <c r="I82" i="1"/>
  <c r="N82" i="1" s="1"/>
  <c r="I86" i="1"/>
  <c r="N86" i="1" s="1"/>
  <c r="I90" i="1"/>
  <c r="N90" i="1" s="1"/>
  <c r="I94" i="1"/>
  <c r="I98" i="1"/>
  <c r="N98" i="1" s="1"/>
  <c r="I102" i="1"/>
  <c r="N102" i="1" s="1"/>
  <c r="I106" i="1"/>
  <c r="I110" i="1"/>
  <c r="N110" i="1" s="1"/>
  <c r="I114" i="1"/>
  <c r="N114" i="1" s="1"/>
  <c r="I118" i="1"/>
  <c r="N118" i="1" s="1"/>
  <c r="I122" i="1"/>
  <c r="N122" i="1" s="1"/>
  <c r="I126" i="1"/>
  <c r="N126" i="1" s="1"/>
  <c r="I130" i="1"/>
  <c r="N130" i="1" s="1"/>
  <c r="I134" i="1"/>
  <c r="N134" i="1" s="1"/>
  <c r="I138" i="1"/>
  <c r="N138" i="1" s="1"/>
  <c r="I142" i="1"/>
  <c r="I146" i="1"/>
  <c r="N146" i="1" s="1"/>
  <c r="I150" i="1"/>
  <c r="N150" i="1" s="1"/>
  <c r="I154" i="1"/>
  <c r="N154" i="1" s="1"/>
  <c r="I158" i="1"/>
  <c r="I162" i="1"/>
  <c r="N162" i="1" s="1"/>
  <c r="I166" i="1"/>
  <c r="N166" i="1" s="1"/>
  <c r="I170" i="1"/>
  <c r="N170" i="1" s="1"/>
  <c r="I174" i="1"/>
  <c r="I178" i="1"/>
  <c r="N178" i="1" s="1"/>
  <c r="I182" i="1"/>
  <c r="N182" i="1" s="1"/>
  <c r="I186" i="1"/>
  <c r="I190" i="1"/>
  <c r="N190" i="1" s="1"/>
  <c r="I194" i="1"/>
  <c r="N194" i="1" s="1"/>
  <c r="I198" i="1"/>
  <c r="N198" i="1" s="1"/>
  <c r="I202" i="1"/>
  <c r="N202" i="1" s="1"/>
  <c r="I206" i="1"/>
  <c r="N206" i="1" s="1"/>
  <c r="I210" i="1"/>
  <c r="N210" i="1" s="1"/>
  <c r="I214" i="1"/>
  <c r="N214" i="1" s="1"/>
  <c r="I218" i="1"/>
  <c r="N218" i="1" s="1"/>
  <c r="I222" i="1"/>
  <c r="N222" i="1" s="1"/>
  <c r="I226" i="1"/>
  <c r="N226" i="1" s="1"/>
  <c r="I230" i="1"/>
  <c r="N230" i="1" s="1"/>
  <c r="I234" i="1"/>
  <c r="N234" i="1" s="1"/>
  <c r="I238" i="1"/>
  <c r="N238" i="1" s="1"/>
  <c r="I242" i="1"/>
  <c r="N242" i="1" s="1"/>
  <c r="I246" i="1"/>
  <c r="N246" i="1" s="1"/>
  <c r="I250" i="1"/>
  <c r="N250" i="1" s="1"/>
  <c r="I254" i="1"/>
  <c r="N254" i="1" s="1"/>
  <c r="I258" i="1"/>
  <c r="N258" i="1" s="1"/>
  <c r="I262" i="1"/>
  <c r="N262" i="1" s="1"/>
  <c r="I266" i="1"/>
  <c r="N266" i="1" s="1"/>
  <c r="I270" i="1"/>
  <c r="N270" i="1" s="1"/>
  <c r="I274" i="1"/>
  <c r="N274" i="1" s="1"/>
  <c r="I278" i="1"/>
  <c r="N278" i="1" s="1"/>
  <c r="I282" i="1"/>
  <c r="N282" i="1" s="1"/>
  <c r="I286" i="1"/>
  <c r="N286" i="1" s="1"/>
  <c r="I290" i="1"/>
  <c r="N290" i="1" s="1"/>
  <c r="I294" i="1"/>
  <c r="N294" i="1" s="1"/>
  <c r="I298" i="1"/>
  <c r="N298" i="1" s="1"/>
  <c r="H13" i="1"/>
  <c r="I13" i="1" s="1"/>
  <c r="H14" i="1"/>
  <c r="H15" i="1"/>
  <c r="I15" i="1" s="1"/>
  <c r="J15" i="1" s="1"/>
  <c r="H16" i="1"/>
  <c r="I16" i="1" s="1"/>
  <c r="J16" i="1" s="1"/>
  <c r="H17" i="1"/>
  <c r="I17" i="1" s="1"/>
  <c r="H18" i="1"/>
  <c r="H19" i="1"/>
  <c r="I19" i="1" s="1"/>
  <c r="J19" i="1" s="1"/>
  <c r="H20" i="1"/>
  <c r="I20" i="1" s="1"/>
  <c r="J20" i="1" s="1"/>
  <c r="H21" i="1"/>
  <c r="I21" i="1" s="1"/>
  <c r="J21" i="1" s="1"/>
  <c r="H22" i="1"/>
  <c r="H23" i="1"/>
  <c r="I23" i="1" s="1"/>
  <c r="J23" i="1" s="1"/>
  <c r="H24" i="1"/>
  <c r="I24" i="1" s="1"/>
  <c r="J24" i="1" s="1"/>
  <c r="H25" i="1"/>
  <c r="I25" i="1" s="1"/>
  <c r="H26" i="1"/>
  <c r="H27" i="1"/>
  <c r="I27" i="1" s="1"/>
  <c r="J27" i="1" s="1"/>
  <c r="H28" i="1"/>
  <c r="I28" i="1" s="1"/>
  <c r="J28" i="1" s="1"/>
  <c r="H29" i="1"/>
  <c r="I29" i="1" s="1"/>
  <c r="H30" i="1"/>
  <c r="H31" i="1"/>
  <c r="I31" i="1" s="1"/>
  <c r="J31" i="1" s="1"/>
  <c r="H32" i="1"/>
  <c r="I32" i="1" s="1"/>
  <c r="J32" i="1" s="1"/>
  <c r="H33" i="1"/>
  <c r="I33" i="1" s="1"/>
  <c r="H34" i="1"/>
  <c r="H35" i="1"/>
  <c r="I35" i="1" s="1"/>
  <c r="J35" i="1" s="1"/>
  <c r="H36" i="1"/>
  <c r="I36" i="1" s="1"/>
  <c r="J36" i="1" s="1"/>
  <c r="H37" i="1"/>
  <c r="I37" i="1" s="1"/>
  <c r="H38" i="1"/>
  <c r="H39" i="1"/>
  <c r="I39" i="1" s="1"/>
  <c r="J39" i="1" s="1"/>
  <c r="H40" i="1"/>
  <c r="I40" i="1" s="1"/>
  <c r="J40" i="1" s="1"/>
  <c r="H41" i="1"/>
  <c r="I41" i="1" s="1"/>
  <c r="H42" i="1"/>
  <c r="H43" i="1"/>
  <c r="I43" i="1" s="1"/>
  <c r="J43" i="1" s="1"/>
  <c r="H44" i="1"/>
  <c r="I44" i="1" s="1"/>
  <c r="J44" i="1" s="1"/>
  <c r="H45" i="1"/>
  <c r="I45" i="1" s="1"/>
  <c r="H46" i="1"/>
  <c r="H47" i="1"/>
  <c r="I47" i="1" s="1"/>
  <c r="J47" i="1" s="1"/>
  <c r="H48" i="1"/>
  <c r="I48" i="1" s="1"/>
  <c r="J48" i="1" s="1"/>
  <c r="H49" i="1"/>
  <c r="I49" i="1" s="1"/>
  <c r="H50" i="1"/>
  <c r="H51" i="1"/>
  <c r="I51" i="1" s="1"/>
  <c r="J51" i="1" s="1"/>
  <c r="H52" i="1"/>
  <c r="I52" i="1" s="1"/>
  <c r="J52" i="1" s="1"/>
  <c r="H53" i="1"/>
  <c r="I53" i="1" s="1"/>
  <c r="H54" i="1"/>
  <c r="H55" i="1"/>
  <c r="I55" i="1" s="1"/>
  <c r="J55" i="1" s="1"/>
  <c r="H56" i="1"/>
  <c r="I56" i="1" s="1"/>
  <c r="J56" i="1" s="1"/>
  <c r="H57" i="1"/>
  <c r="I57" i="1" s="1"/>
  <c r="H58" i="1"/>
  <c r="H59" i="1"/>
  <c r="I59" i="1" s="1"/>
  <c r="J59" i="1" s="1"/>
  <c r="H60" i="1"/>
  <c r="I60" i="1" s="1"/>
  <c r="J60" i="1" s="1"/>
  <c r="H61" i="1"/>
  <c r="I61" i="1" s="1"/>
  <c r="H62" i="1"/>
  <c r="H63" i="1"/>
  <c r="I63" i="1" s="1"/>
  <c r="J63" i="1" s="1"/>
  <c r="H64" i="1"/>
  <c r="I64" i="1" s="1"/>
  <c r="J64" i="1" s="1"/>
  <c r="H65" i="1"/>
  <c r="I65" i="1" s="1"/>
  <c r="H66" i="1"/>
  <c r="H67" i="1"/>
  <c r="I67" i="1" s="1"/>
  <c r="J67" i="1" s="1"/>
  <c r="H68" i="1"/>
  <c r="I68" i="1" s="1"/>
  <c r="J68" i="1" s="1"/>
  <c r="H69" i="1"/>
  <c r="I69" i="1" s="1"/>
  <c r="H70" i="1"/>
  <c r="H71" i="1"/>
  <c r="I71" i="1" s="1"/>
  <c r="J71" i="1" s="1"/>
  <c r="H72" i="1"/>
  <c r="I72" i="1" s="1"/>
  <c r="H73" i="1"/>
  <c r="I73" i="1" s="1"/>
  <c r="H74" i="1"/>
  <c r="H75" i="1"/>
  <c r="I75" i="1" s="1"/>
  <c r="J75" i="1" s="1"/>
  <c r="H76" i="1"/>
  <c r="I76" i="1" s="1"/>
  <c r="J76" i="1" s="1"/>
  <c r="H77" i="1"/>
  <c r="I77" i="1" s="1"/>
  <c r="H78" i="1"/>
  <c r="H79" i="1"/>
  <c r="I79" i="1" s="1"/>
  <c r="J79" i="1" s="1"/>
  <c r="H80" i="1"/>
  <c r="I80" i="1" s="1"/>
  <c r="H81" i="1"/>
  <c r="I81" i="1" s="1"/>
  <c r="H82" i="1"/>
  <c r="H83" i="1"/>
  <c r="I83" i="1" s="1"/>
  <c r="J83" i="1" s="1"/>
  <c r="H84" i="1"/>
  <c r="I84" i="1" s="1"/>
  <c r="J84" i="1" s="1"/>
  <c r="H85" i="1"/>
  <c r="I85" i="1" s="1"/>
  <c r="H86" i="1"/>
  <c r="H87" i="1"/>
  <c r="I87" i="1" s="1"/>
  <c r="J87" i="1" s="1"/>
  <c r="H88" i="1"/>
  <c r="I88" i="1" s="1"/>
  <c r="J88" i="1" s="1"/>
  <c r="H89" i="1"/>
  <c r="I89" i="1" s="1"/>
  <c r="H90" i="1"/>
  <c r="H91" i="1"/>
  <c r="I91" i="1" s="1"/>
  <c r="J91" i="1" s="1"/>
  <c r="H92" i="1"/>
  <c r="I92" i="1" s="1"/>
  <c r="J92" i="1" s="1"/>
  <c r="H93" i="1"/>
  <c r="I93" i="1" s="1"/>
  <c r="H94" i="1"/>
  <c r="H95" i="1"/>
  <c r="I95" i="1" s="1"/>
  <c r="J95" i="1" s="1"/>
  <c r="H96" i="1"/>
  <c r="I96" i="1" s="1"/>
  <c r="J96" i="1" s="1"/>
  <c r="H97" i="1"/>
  <c r="I97" i="1" s="1"/>
  <c r="H98" i="1"/>
  <c r="H99" i="1"/>
  <c r="I99" i="1" s="1"/>
  <c r="J99" i="1" s="1"/>
  <c r="H100" i="1"/>
  <c r="I100" i="1" s="1"/>
  <c r="H101" i="1"/>
  <c r="I101" i="1" s="1"/>
  <c r="H102" i="1"/>
  <c r="H103" i="1"/>
  <c r="I103" i="1" s="1"/>
  <c r="J103" i="1" s="1"/>
  <c r="H104" i="1"/>
  <c r="I104" i="1" s="1"/>
  <c r="J104" i="1" s="1"/>
  <c r="H105" i="1"/>
  <c r="I105" i="1" s="1"/>
  <c r="H106" i="1"/>
  <c r="H107" i="1"/>
  <c r="I107" i="1" s="1"/>
  <c r="J107" i="1" s="1"/>
  <c r="H108" i="1"/>
  <c r="I108" i="1" s="1"/>
  <c r="J108" i="1" s="1"/>
  <c r="H109" i="1"/>
  <c r="I109" i="1" s="1"/>
  <c r="H110" i="1"/>
  <c r="H111" i="1"/>
  <c r="I111" i="1" s="1"/>
  <c r="J111" i="1" s="1"/>
  <c r="H112" i="1"/>
  <c r="I112" i="1" s="1"/>
  <c r="J112" i="1" s="1"/>
  <c r="H113" i="1"/>
  <c r="I113" i="1" s="1"/>
  <c r="H114" i="1"/>
  <c r="H115" i="1"/>
  <c r="I115" i="1" s="1"/>
  <c r="J115" i="1" s="1"/>
  <c r="H116" i="1"/>
  <c r="I116" i="1" s="1"/>
  <c r="H117" i="1"/>
  <c r="I117" i="1" s="1"/>
  <c r="J117" i="1" s="1"/>
  <c r="H118" i="1"/>
  <c r="H119" i="1"/>
  <c r="I119" i="1" s="1"/>
  <c r="J119" i="1" s="1"/>
  <c r="H120" i="1"/>
  <c r="I120" i="1" s="1"/>
  <c r="J120" i="1" s="1"/>
  <c r="H121" i="1"/>
  <c r="I121" i="1" s="1"/>
  <c r="H122" i="1"/>
  <c r="H123" i="1"/>
  <c r="I123" i="1" s="1"/>
  <c r="J123" i="1" s="1"/>
  <c r="H124" i="1"/>
  <c r="I124" i="1" s="1"/>
  <c r="J124" i="1" s="1"/>
  <c r="H125" i="1"/>
  <c r="I125" i="1" s="1"/>
  <c r="H126" i="1"/>
  <c r="H127" i="1"/>
  <c r="I127" i="1" s="1"/>
  <c r="J127" i="1" s="1"/>
  <c r="H128" i="1"/>
  <c r="I128" i="1" s="1"/>
  <c r="H129" i="1"/>
  <c r="I129" i="1" s="1"/>
  <c r="H130" i="1"/>
  <c r="H131" i="1"/>
  <c r="I131" i="1" s="1"/>
  <c r="J131" i="1" s="1"/>
  <c r="H132" i="1"/>
  <c r="I132" i="1" s="1"/>
  <c r="J132" i="1" s="1"/>
  <c r="H133" i="1"/>
  <c r="I133" i="1" s="1"/>
  <c r="H134" i="1"/>
  <c r="H135" i="1"/>
  <c r="I135" i="1" s="1"/>
  <c r="J135" i="1" s="1"/>
  <c r="H136" i="1"/>
  <c r="I136" i="1" s="1"/>
  <c r="J136" i="1" s="1"/>
  <c r="H137" i="1"/>
  <c r="I137" i="1" s="1"/>
  <c r="H138" i="1"/>
  <c r="H139" i="1"/>
  <c r="I139" i="1" s="1"/>
  <c r="J139" i="1" s="1"/>
  <c r="H140" i="1"/>
  <c r="I140" i="1" s="1"/>
  <c r="J140" i="1" s="1"/>
  <c r="H141" i="1"/>
  <c r="I141" i="1" s="1"/>
  <c r="H142" i="1"/>
  <c r="H143" i="1"/>
  <c r="I143" i="1" s="1"/>
  <c r="J143" i="1" s="1"/>
  <c r="H144" i="1"/>
  <c r="I144" i="1" s="1"/>
  <c r="J144" i="1" s="1"/>
  <c r="H145" i="1"/>
  <c r="I145" i="1" s="1"/>
  <c r="H146" i="1"/>
  <c r="H147" i="1"/>
  <c r="I147" i="1" s="1"/>
  <c r="J147" i="1" s="1"/>
  <c r="H148" i="1"/>
  <c r="I148" i="1" s="1"/>
  <c r="J148" i="1" s="1"/>
  <c r="H149" i="1"/>
  <c r="I149" i="1" s="1"/>
  <c r="H150" i="1"/>
  <c r="H151" i="1"/>
  <c r="I151" i="1" s="1"/>
  <c r="H152" i="1"/>
  <c r="I152" i="1" s="1"/>
  <c r="J152" i="1" s="1"/>
  <c r="H153" i="1"/>
  <c r="I153" i="1" s="1"/>
  <c r="H154" i="1"/>
  <c r="H155" i="1"/>
  <c r="I155" i="1" s="1"/>
  <c r="J155" i="1" s="1"/>
  <c r="H156" i="1"/>
  <c r="I156" i="1" s="1"/>
  <c r="J156" i="1" s="1"/>
  <c r="H157" i="1"/>
  <c r="I157" i="1" s="1"/>
  <c r="H158" i="1"/>
  <c r="H159" i="1"/>
  <c r="I159" i="1" s="1"/>
  <c r="H160" i="1"/>
  <c r="I160" i="1" s="1"/>
  <c r="J160" i="1" s="1"/>
  <c r="H161" i="1"/>
  <c r="I161" i="1" s="1"/>
  <c r="H162" i="1"/>
  <c r="H163" i="1"/>
  <c r="I163" i="1" s="1"/>
  <c r="J163" i="1" s="1"/>
  <c r="H164" i="1"/>
  <c r="I164" i="1" s="1"/>
  <c r="H165" i="1"/>
  <c r="I165" i="1" s="1"/>
  <c r="H166" i="1"/>
  <c r="H167" i="1"/>
  <c r="I167" i="1" s="1"/>
  <c r="J167" i="1" s="1"/>
  <c r="H168" i="1"/>
  <c r="I168" i="1" s="1"/>
  <c r="J168" i="1" s="1"/>
  <c r="H169" i="1"/>
  <c r="I169" i="1" s="1"/>
  <c r="H170" i="1"/>
  <c r="H171" i="1"/>
  <c r="I171" i="1" s="1"/>
  <c r="H172" i="1"/>
  <c r="I172" i="1" s="1"/>
  <c r="J172" i="1" s="1"/>
  <c r="H173" i="1"/>
  <c r="I173" i="1" s="1"/>
  <c r="H174" i="1"/>
  <c r="H175" i="1"/>
  <c r="I175" i="1" s="1"/>
  <c r="J175" i="1" s="1"/>
  <c r="H176" i="1"/>
  <c r="I176" i="1" s="1"/>
  <c r="J176" i="1" s="1"/>
  <c r="H177" i="1"/>
  <c r="I177" i="1" s="1"/>
  <c r="H178" i="1"/>
  <c r="H179" i="1"/>
  <c r="I179" i="1" s="1"/>
  <c r="H180" i="1"/>
  <c r="I180" i="1" s="1"/>
  <c r="H181" i="1"/>
  <c r="I181" i="1" s="1"/>
  <c r="H182" i="1"/>
  <c r="H183" i="1"/>
  <c r="I183" i="1" s="1"/>
  <c r="J183" i="1" s="1"/>
  <c r="H184" i="1"/>
  <c r="I184" i="1" s="1"/>
  <c r="J184" i="1" s="1"/>
  <c r="H185" i="1"/>
  <c r="I185" i="1" s="1"/>
  <c r="H186" i="1"/>
  <c r="H187" i="1"/>
  <c r="I187" i="1" s="1"/>
  <c r="J187" i="1" s="1"/>
  <c r="H188" i="1"/>
  <c r="I188" i="1" s="1"/>
  <c r="J188" i="1" s="1"/>
  <c r="H189" i="1"/>
  <c r="I189" i="1" s="1"/>
  <c r="H190" i="1"/>
  <c r="H191" i="1"/>
  <c r="I191" i="1" s="1"/>
  <c r="J191" i="1" s="1"/>
  <c r="H192" i="1"/>
  <c r="I192" i="1" s="1"/>
  <c r="H193" i="1"/>
  <c r="I193" i="1" s="1"/>
  <c r="H194" i="1"/>
  <c r="H195" i="1"/>
  <c r="I195" i="1" s="1"/>
  <c r="J195" i="1" s="1"/>
  <c r="H196" i="1"/>
  <c r="I196" i="1" s="1"/>
  <c r="J196" i="1" s="1"/>
  <c r="H197" i="1"/>
  <c r="I197" i="1" s="1"/>
  <c r="H198" i="1"/>
  <c r="H199" i="1"/>
  <c r="I199" i="1" s="1"/>
  <c r="J199" i="1" s="1"/>
  <c r="H200" i="1"/>
  <c r="I200" i="1" s="1"/>
  <c r="J200" i="1" s="1"/>
  <c r="H201" i="1"/>
  <c r="I201" i="1" s="1"/>
  <c r="H202" i="1"/>
  <c r="H203" i="1"/>
  <c r="I203" i="1" s="1"/>
  <c r="H204" i="1"/>
  <c r="I204" i="1" s="1"/>
  <c r="J204" i="1" s="1"/>
  <c r="H205" i="1"/>
  <c r="I205" i="1" s="1"/>
  <c r="H206" i="1"/>
  <c r="H207" i="1"/>
  <c r="I207" i="1" s="1"/>
  <c r="J207" i="1" s="1"/>
  <c r="H208" i="1"/>
  <c r="I208" i="1" s="1"/>
  <c r="J208" i="1" s="1"/>
  <c r="H209" i="1"/>
  <c r="I209" i="1" s="1"/>
  <c r="H210" i="1"/>
  <c r="H211" i="1"/>
  <c r="I211" i="1" s="1"/>
  <c r="H212" i="1"/>
  <c r="I212" i="1" s="1"/>
  <c r="J212" i="1" s="1"/>
  <c r="H213" i="1"/>
  <c r="I213" i="1" s="1"/>
  <c r="H214" i="1"/>
  <c r="H215" i="1"/>
  <c r="I215" i="1" s="1"/>
  <c r="J215" i="1" s="1"/>
  <c r="H216" i="1"/>
  <c r="I216" i="1" s="1"/>
  <c r="J216" i="1" s="1"/>
  <c r="H217" i="1"/>
  <c r="I217" i="1" s="1"/>
  <c r="H218" i="1"/>
  <c r="H219" i="1"/>
  <c r="I219" i="1" s="1"/>
  <c r="H220" i="1"/>
  <c r="I220" i="1" s="1"/>
  <c r="H221" i="1"/>
  <c r="I221" i="1" s="1"/>
  <c r="H222" i="1"/>
  <c r="H223" i="1"/>
  <c r="I223" i="1" s="1"/>
  <c r="J223" i="1" s="1"/>
  <c r="H224" i="1"/>
  <c r="I224" i="1" s="1"/>
  <c r="J224" i="1" s="1"/>
  <c r="H225" i="1"/>
  <c r="I225" i="1" s="1"/>
  <c r="H226" i="1"/>
  <c r="H227" i="1"/>
  <c r="I227" i="1" s="1"/>
  <c r="H228" i="1"/>
  <c r="I228" i="1" s="1"/>
  <c r="J228" i="1" s="1"/>
  <c r="H229" i="1"/>
  <c r="I229" i="1" s="1"/>
  <c r="H230" i="1"/>
  <c r="H231" i="1"/>
  <c r="I231" i="1" s="1"/>
  <c r="J231" i="1" s="1"/>
  <c r="H232" i="1"/>
  <c r="I232" i="1" s="1"/>
  <c r="H233" i="1"/>
  <c r="I233" i="1" s="1"/>
  <c r="H234" i="1"/>
  <c r="H235" i="1"/>
  <c r="I235" i="1" s="1"/>
  <c r="J235" i="1" s="1"/>
  <c r="H236" i="1"/>
  <c r="I236" i="1" s="1"/>
  <c r="J236" i="1" s="1"/>
  <c r="H237" i="1"/>
  <c r="I237" i="1" s="1"/>
  <c r="H238" i="1"/>
  <c r="H239" i="1"/>
  <c r="I239" i="1" s="1"/>
  <c r="J239" i="1" s="1"/>
  <c r="H240" i="1"/>
  <c r="I240" i="1" s="1"/>
  <c r="J240" i="1" s="1"/>
  <c r="H241" i="1"/>
  <c r="I241" i="1" s="1"/>
  <c r="H242" i="1"/>
  <c r="H243" i="1"/>
  <c r="I243" i="1" s="1"/>
  <c r="J243" i="1" s="1"/>
  <c r="H244" i="1"/>
  <c r="I244" i="1" s="1"/>
  <c r="H245" i="1"/>
  <c r="I245" i="1" s="1"/>
  <c r="H246" i="1"/>
  <c r="H247" i="1"/>
  <c r="I247" i="1" s="1"/>
  <c r="J247" i="1" s="1"/>
  <c r="H248" i="1"/>
  <c r="I248" i="1" s="1"/>
  <c r="J248" i="1" s="1"/>
  <c r="H249" i="1"/>
  <c r="I249" i="1" s="1"/>
  <c r="H250" i="1"/>
  <c r="H251" i="1"/>
  <c r="I251" i="1" s="1"/>
  <c r="J251" i="1" s="1"/>
  <c r="H252" i="1"/>
  <c r="I252" i="1" s="1"/>
  <c r="J252" i="1" s="1"/>
  <c r="H253" i="1"/>
  <c r="I253" i="1" s="1"/>
  <c r="H254" i="1"/>
  <c r="H255" i="1"/>
  <c r="I255" i="1" s="1"/>
  <c r="H256" i="1"/>
  <c r="I256" i="1" s="1"/>
  <c r="H257" i="1"/>
  <c r="I257" i="1" s="1"/>
  <c r="H258" i="1"/>
  <c r="H259" i="1"/>
  <c r="I259" i="1" s="1"/>
  <c r="J259" i="1" s="1"/>
  <c r="H260" i="1"/>
  <c r="I260" i="1" s="1"/>
  <c r="J260" i="1" s="1"/>
  <c r="H261" i="1"/>
  <c r="I261" i="1" s="1"/>
  <c r="H262" i="1"/>
  <c r="H263" i="1"/>
  <c r="I263" i="1" s="1"/>
  <c r="J263" i="1" s="1"/>
  <c r="H264" i="1"/>
  <c r="I264" i="1" s="1"/>
  <c r="J264" i="1" s="1"/>
  <c r="H265" i="1"/>
  <c r="I265" i="1" s="1"/>
  <c r="H266" i="1"/>
  <c r="H267" i="1"/>
  <c r="I267" i="1" s="1"/>
  <c r="J267" i="1" s="1"/>
  <c r="H268" i="1"/>
  <c r="I268" i="1" s="1"/>
  <c r="H269" i="1"/>
  <c r="I269" i="1" s="1"/>
  <c r="H270" i="1"/>
  <c r="H271" i="1"/>
  <c r="I271" i="1" s="1"/>
  <c r="J271" i="1" s="1"/>
  <c r="H272" i="1"/>
  <c r="I272" i="1" s="1"/>
  <c r="J272" i="1" s="1"/>
  <c r="H273" i="1"/>
  <c r="I273" i="1" s="1"/>
  <c r="H274" i="1"/>
  <c r="H275" i="1"/>
  <c r="I275" i="1" s="1"/>
  <c r="J275" i="1" s="1"/>
  <c r="H276" i="1"/>
  <c r="I276" i="1" s="1"/>
  <c r="J276" i="1" s="1"/>
  <c r="H277" i="1"/>
  <c r="I277" i="1" s="1"/>
  <c r="H278" i="1"/>
  <c r="H279" i="1"/>
  <c r="I279" i="1" s="1"/>
  <c r="J279" i="1" s="1"/>
  <c r="H280" i="1"/>
  <c r="I280" i="1" s="1"/>
  <c r="J280" i="1" s="1"/>
  <c r="H281" i="1"/>
  <c r="I281" i="1" s="1"/>
  <c r="H282" i="1"/>
  <c r="H283" i="1"/>
  <c r="I283" i="1" s="1"/>
  <c r="H284" i="1"/>
  <c r="I284" i="1" s="1"/>
  <c r="J284" i="1" s="1"/>
  <c r="H285" i="1"/>
  <c r="I285" i="1" s="1"/>
  <c r="H286" i="1"/>
  <c r="H287" i="1"/>
  <c r="I287" i="1" s="1"/>
  <c r="J287" i="1" s="1"/>
  <c r="H288" i="1"/>
  <c r="I288" i="1" s="1"/>
  <c r="H289" i="1"/>
  <c r="I289" i="1" s="1"/>
  <c r="H290" i="1"/>
  <c r="H291" i="1"/>
  <c r="I291" i="1" s="1"/>
  <c r="H292" i="1"/>
  <c r="I292" i="1" s="1"/>
  <c r="J292" i="1" s="1"/>
  <c r="H293" i="1"/>
  <c r="I293" i="1" s="1"/>
  <c r="H294" i="1"/>
  <c r="H295" i="1"/>
  <c r="I295" i="1" s="1"/>
  <c r="J295" i="1" s="1"/>
  <c r="H296" i="1"/>
  <c r="I296" i="1" s="1"/>
  <c r="J296" i="1" s="1"/>
  <c r="H297" i="1"/>
  <c r="I297" i="1" s="1"/>
  <c r="H298" i="1"/>
  <c r="H299" i="1"/>
  <c r="I299" i="1" s="1"/>
  <c r="J299" i="1" s="1"/>
  <c r="H300" i="1"/>
  <c r="I300" i="1" s="1"/>
  <c r="J300" i="1" s="1"/>
  <c r="H301" i="1"/>
  <c r="I301" i="1" s="1"/>
  <c r="H12" i="1"/>
  <c r="I12" i="1" s="1"/>
  <c r="J12" i="1" s="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J18" i="1"/>
  <c r="J38" i="1"/>
  <c r="J50" i="1"/>
  <c r="J72" i="1"/>
  <c r="J80" i="1"/>
  <c r="J82" i="1"/>
  <c r="J98" i="1"/>
  <c r="J100" i="1"/>
  <c r="J114" i="1"/>
  <c r="J116" i="1"/>
  <c r="J128" i="1"/>
  <c r="J130" i="1"/>
  <c r="J146" i="1"/>
  <c r="J151" i="1"/>
  <c r="J159" i="1"/>
  <c r="J162" i="1"/>
  <c r="J164" i="1"/>
  <c r="J166" i="1"/>
  <c r="J170" i="1"/>
  <c r="J171" i="1"/>
  <c r="J178" i="1"/>
  <c r="J179" i="1"/>
  <c r="J180" i="1"/>
  <c r="J192" i="1"/>
  <c r="J194" i="1"/>
  <c r="J203" i="1"/>
  <c r="J210" i="1"/>
  <c r="J211" i="1"/>
  <c r="J219" i="1"/>
  <c r="J220" i="1"/>
  <c r="J226" i="1"/>
  <c r="J227" i="1"/>
  <c r="J232" i="1"/>
  <c r="J234" i="1"/>
  <c r="J242" i="1"/>
  <c r="J244" i="1"/>
  <c r="J246" i="1"/>
  <c r="J255" i="1"/>
  <c r="J256" i="1"/>
  <c r="J258" i="1"/>
  <c r="J262" i="1"/>
  <c r="J268" i="1"/>
  <c r="J274" i="1"/>
  <c r="J283" i="1"/>
  <c r="J288" i="1"/>
  <c r="J290" i="1"/>
  <c r="J291" i="1"/>
  <c r="A12" i="1"/>
  <c r="J2" i="1"/>
  <c r="N2" i="1" s="1"/>
  <c r="J3" i="1"/>
  <c r="N3" i="1" s="1"/>
  <c r="J4" i="1"/>
  <c r="N4" i="1" s="1"/>
  <c r="J5" i="1"/>
  <c r="J6" i="1"/>
  <c r="N6" i="1" s="1"/>
  <c r="J7" i="1"/>
  <c r="J8" i="1"/>
  <c r="N8" i="1" s="1"/>
  <c r="J9" i="1"/>
  <c r="N9" i="1" s="1"/>
  <c r="O7" i="1" s="1"/>
  <c r="J10" i="1"/>
  <c r="N10" i="1" s="1"/>
  <c r="J11" i="1"/>
  <c r="AC5" i="5"/>
  <c r="M5" i="5"/>
  <c r="E5" i="5"/>
  <c r="AG5" i="5"/>
  <c r="A5" i="5"/>
  <c r="Y5" i="5"/>
  <c r="U5" i="5"/>
  <c r="Q5" i="5"/>
  <c r="I5" i="5"/>
  <c r="N186" i="1" l="1"/>
  <c r="J186" i="1"/>
  <c r="J282" i="1"/>
  <c r="J90" i="1"/>
  <c r="J58" i="1"/>
  <c r="N106" i="1"/>
  <c r="J106" i="1"/>
  <c r="J250" i="1"/>
  <c r="N66" i="1"/>
  <c r="J66" i="1"/>
  <c r="N34" i="1"/>
  <c r="J34" i="1"/>
  <c r="J150" i="1"/>
  <c r="J134" i="1"/>
  <c r="J118" i="1"/>
  <c r="J230" i="1"/>
  <c r="J198" i="1"/>
  <c r="J182" i="1"/>
  <c r="J102" i="1"/>
  <c r="J54" i="1"/>
  <c r="J294" i="1"/>
  <c r="J278" i="1"/>
  <c r="J214" i="1"/>
  <c r="J86" i="1"/>
  <c r="J70" i="1"/>
  <c r="J298" i="1"/>
  <c r="J202" i="1"/>
  <c r="J122" i="1"/>
  <c r="J26" i="1"/>
  <c r="J266" i="1"/>
  <c r="J218" i="1"/>
  <c r="J154" i="1"/>
  <c r="J138" i="1"/>
  <c r="J74" i="1"/>
  <c r="J42" i="1"/>
  <c r="J14" i="1"/>
  <c r="N300" i="1"/>
  <c r="N296" i="1"/>
  <c r="N284" i="1"/>
  <c r="N280" i="1"/>
  <c r="N268" i="1"/>
  <c r="N264" i="1"/>
  <c r="N252" i="1"/>
  <c r="N248" i="1"/>
  <c r="N236" i="1"/>
  <c r="N232" i="1"/>
  <c r="N220" i="1"/>
  <c r="N216" i="1"/>
  <c r="N212" i="1"/>
  <c r="N208" i="1"/>
  <c r="N204" i="1"/>
  <c r="N200" i="1"/>
  <c r="N196" i="1"/>
  <c r="N192" i="1"/>
  <c r="N188" i="1"/>
  <c r="N184" i="1"/>
  <c r="N180" i="1"/>
  <c r="N176" i="1"/>
  <c r="N172" i="1"/>
  <c r="N168" i="1"/>
  <c r="N156" i="1"/>
  <c r="N144" i="1"/>
  <c r="N140" i="1"/>
  <c r="N136" i="1"/>
  <c r="N128" i="1"/>
  <c r="N120" i="1"/>
  <c r="N116" i="1"/>
  <c r="N112" i="1"/>
  <c r="N108" i="1"/>
  <c r="N104" i="1"/>
  <c r="N100" i="1"/>
  <c r="N96" i="1"/>
  <c r="N92" i="1"/>
  <c r="N88" i="1"/>
  <c r="N80" i="1"/>
  <c r="N76" i="1"/>
  <c r="N72" i="1"/>
  <c r="N20" i="1"/>
  <c r="J110" i="1"/>
  <c r="J297" i="1"/>
  <c r="N297" i="1" s="1"/>
  <c r="J293" i="1"/>
  <c r="N293" i="1" s="1"/>
  <c r="J285" i="1"/>
  <c r="N285" i="1" s="1"/>
  <c r="J277" i="1"/>
  <c r="N277" i="1" s="1"/>
  <c r="J269" i="1"/>
  <c r="N269" i="1" s="1"/>
  <c r="J261" i="1"/>
  <c r="N261" i="1" s="1"/>
  <c r="J173" i="1"/>
  <c r="N173" i="1" s="1"/>
  <c r="J301" i="1"/>
  <c r="N301" i="1" s="1"/>
  <c r="J289" i="1"/>
  <c r="N289" i="1" s="1"/>
  <c r="J281" i="1"/>
  <c r="N281" i="1" s="1"/>
  <c r="J273" i="1"/>
  <c r="N273" i="1" s="1"/>
  <c r="J265" i="1"/>
  <c r="N265" i="1" s="1"/>
  <c r="J257" i="1"/>
  <c r="N257" i="1" s="1"/>
  <c r="J253" i="1"/>
  <c r="N253" i="1" s="1"/>
  <c r="J249" i="1"/>
  <c r="N249" i="1" s="1"/>
  <c r="J245" i="1"/>
  <c r="N245" i="1" s="1"/>
  <c r="J241" i="1"/>
  <c r="N241" i="1" s="1"/>
  <c r="J237" i="1"/>
  <c r="N237" i="1" s="1"/>
  <c r="J233" i="1"/>
  <c r="N233" i="1" s="1"/>
  <c r="J229" i="1"/>
  <c r="N229" i="1" s="1"/>
  <c r="J225" i="1"/>
  <c r="N225" i="1" s="1"/>
  <c r="J221" i="1"/>
  <c r="N221" i="1" s="1"/>
  <c r="J217" i="1"/>
  <c r="N217" i="1" s="1"/>
  <c r="J213" i="1"/>
  <c r="N213" i="1" s="1"/>
  <c r="J209" i="1"/>
  <c r="N209" i="1" s="1"/>
  <c r="J205" i="1"/>
  <c r="N205" i="1" s="1"/>
  <c r="J201" i="1"/>
  <c r="N201" i="1" s="1"/>
  <c r="J197" i="1"/>
  <c r="N197" i="1" s="1"/>
  <c r="J193" i="1"/>
  <c r="N193" i="1" s="1"/>
  <c r="J189" i="1"/>
  <c r="N189" i="1" s="1"/>
  <c r="J185" i="1"/>
  <c r="N185" i="1" s="1"/>
  <c r="J181" i="1"/>
  <c r="N181" i="1" s="1"/>
  <c r="J177" i="1"/>
  <c r="N177" i="1" s="1"/>
  <c r="J169" i="1"/>
  <c r="N169" i="1" s="1"/>
  <c r="J165" i="1"/>
  <c r="N165" i="1" s="1"/>
  <c r="J161" i="1"/>
  <c r="N161" i="1" s="1"/>
  <c r="J157" i="1"/>
  <c r="N157" i="1" s="1"/>
  <c r="J153" i="1"/>
  <c r="N153" i="1" s="1"/>
  <c r="J149" i="1"/>
  <c r="N149" i="1" s="1"/>
  <c r="J145" i="1"/>
  <c r="N145" i="1" s="1"/>
  <c r="J141" i="1"/>
  <c r="N141" i="1" s="1"/>
  <c r="J137" i="1"/>
  <c r="N137" i="1" s="1"/>
  <c r="J133" i="1"/>
  <c r="N133" i="1" s="1"/>
  <c r="J129" i="1"/>
  <c r="N129" i="1" s="1"/>
  <c r="J125" i="1"/>
  <c r="N125" i="1" s="1"/>
  <c r="J121" i="1"/>
  <c r="N121" i="1" s="1"/>
  <c r="N117" i="1"/>
  <c r="J113" i="1"/>
  <c r="N113" i="1" s="1"/>
  <c r="J109" i="1"/>
  <c r="N109" i="1" s="1"/>
  <c r="J105" i="1"/>
  <c r="N105" i="1" s="1"/>
  <c r="J101" i="1"/>
  <c r="N101" i="1" s="1"/>
  <c r="J93" i="1"/>
  <c r="N93" i="1" s="1"/>
  <c r="J85" i="1"/>
  <c r="N85" i="1" s="1"/>
  <c r="J77" i="1"/>
  <c r="N77" i="1" s="1"/>
  <c r="J61" i="1"/>
  <c r="N61" i="1" s="1"/>
  <c r="J53" i="1"/>
  <c r="N53" i="1" s="1"/>
  <c r="J45" i="1"/>
  <c r="N45" i="1"/>
  <c r="J37" i="1"/>
  <c r="N37" i="1" s="1"/>
  <c r="J29" i="1"/>
  <c r="N29" i="1" s="1"/>
  <c r="J25" i="1"/>
  <c r="N25" i="1" s="1"/>
  <c r="J17" i="1"/>
  <c r="N17" i="1" s="1"/>
  <c r="N174" i="1"/>
  <c r="J174" i="1"/>
  <c r="J142" i="1"/>
  <c r="N142" i="1"/>
  <c r="N94" i="1"/>
  <c r="J94" i="1"/>
  <c r="J78" i="1"/>
  <c r="N78" i="1"/>
  <c r="J62" i="1"/>
  <c r="N62" i="1"/>
  <c r="J30" i="1"/>
  <c r="N30" i="1"/>
  <c r="J206" i="1"/>
  <c r="J190" i="1"/>
  <c r="N292" i="1"/>
  <c r="N288" i="1"/>
  <c r="N276" i="1"/>
  <c r="N272" i="1"/>
  <c r="N260" i="1"/>
  <c r="N256" i="1"/>
  <c r="N244" i="1"/>
  <c r="N240" i="1"/>
  <c r="N228" i="1"/>
  <c r="N224" i="1"/>
  <c r="N164" i="1"/>
  <c r="N160" i="1"/>
  <c r="N152" i="1"/>
  <c r="N148" i="1"/>
  <c r="N132" i="1"/>
  <c r="N124" i="1"/>
  <c r="N84" i="1"/>
  <c r="N68" i="1"/>
  <c r="J286" i="1"/>
  <c r="J270" i="1"/>
  <c r="J254" i="1"/>
  <c r="J238" i="1"/>
  <c r="J222"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5" i="1"/>
  <c r="J97" i="1"/>
  <c r="N97" i="1" s="1"/>
  <c r="J89" i="1"/>
  <c r="N89" i="1" s="1"/>
  <c r="J81" i="1"/>
  <c r="N81" i="1" s="1"/>
  <c r="J73" i="1"/>
  <c r="N73" i="1" s="1"/>
  <c r="J65" i="1"/>
  <c r="N65" i="1" s="1"/>
  <c r="J57" i="1"/>
  <c r="N57" i="1" s="1"/>
  <c r="J49" i="1"/>
  <c r="N49" i="1" s="1"/>
  <c r="J41" i="1"/>
  <c r="N41" i="1" s="1"/>
  <c r="J33" i="1"/>
  <c r="N33" i="1" s="1"/>
  <c r="N21" i="1"/>
  <c r="J13" i="1"/>
  <c r="N13" i="1" s="1"/>
  <c r="N158" i="1"/>
  <c r="J158" i="1"/>
  <c r="J46" i="1"/>
  <c r="N46" i="1"/>
  <c r="J126" i="1"/>
  <c r="J69" i="1"/>
  <c r="N69" i="1" s="1"/>
  <c r="N12" i="1"/>
  <c r="N22" i="1"/>
  <c r="N64" i="1"/>
  <c r="N60" i="1"/>
  <c r="N56" i="1"/>
  <c r="N52" i="1"/>
  <c r="N48" i="1"/>
  <c r="N44" i="1"/>
  <c r="N40" i="1"/>
  <c r="N36" i="1"/>
  <c r="N32" i="1"/>
  <c r="N28" i="1"/>
  <c r="N24" i="1"/>
  <c r="N16"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alcChain>
</file>

<file path=xl/sharedStrings.xml><?xml version="1.0" encoding="utf-8"?>
<sst xmlns="http://schemas.openxmlformats.org/spreadsheetml/2006/main" count="664" uniqueCount="418">
  <si>
    <t>Project ID</t>
  </si>
  <si>
    <t>Project Name</t>
  </si>
  <si>
    <t>Region</t>
  </si>
  <si>
    <t>City</t>
  </si>
  <si>
    <t>Customer Type</t>
  </si>
  <si>
    <t>Start Date</t>
  </si>
  <si>
    <t>Planned Completion</t>
  </si>
  <si>
    <t>Actual Completion</t>
  </si>
  <si>
    <t>Delay (Days)</t>
  </si>
  <si>
    <t>Installation Stage</t>
  </si>
  <si>
    <t>Status</t>
  </si>
  <si>
    <t>Handover Status</t>
  </si>
  <si>
    <t>North Kerala</t>
  </si>
  <si>
    <t>Kochi</t>
  </si>
  <si>
    <t>Trivandrum</t>
  </si>
  <si>
    <t>Kozhikode</t>
  </si>
  <si>
    <t>Thrissur</t>
  </si>
  <si>
    <t>Kottayam</t>
  </si>
  <si>
    <t>Palakkad</t>
  </si>
  <si>
    <t>Kollam</t>
  </si>
  <si>
    <t>Wayanad</t>
  </si>
  <si>
    <t>Residential</t>
  </si>
  <si>
    <t>Commercial</t>
  </si>
  <si>
    <t>Hospital</t>
  </si>
  <si>
    <t>Hotel</t>
  </si>
  <si>
    <t>Apartment</t>
  </si>
  <si>
    <t>Office</t>
  </si>
  <si>
    <t>Material Delivered</t>
  </si>
  <si>
    <t>Installation Started</t>
  </si>
  <si>
    <t>Installation Completed</t>
  </si>
  <si>
    <t>Testing</t>
  </si>
  <si>
    <t>Inspection</t>
  </si>
  <si>
    <t>Handover</t>
  </si>
  <si>
    <t>On Track</t>
  </si>
  <si>
    <t>Delayed</t>
  </si>
  <si>
    <t>In Progress</t>
  </si>
  <si>
    <t>Completed</t>
  </si>
  <si>
    <t>On Hold</t>
  </si>
  <si>
    <t>Pending</t>
  </si>
  <si>
    <t>Alappuzha</t>
  </si>
  <si>
    <t>Pathanamthitta</t>
  </si>
  <si>
    <t>Kasargod</t>
  </si>
  <si>
    <t>Shopping Mall</t>
  </si>
  <si>
    <t>Central Kerala</t>
  </si>
  <si>
    <t>South Kerala</t>
  </si>
  <si>
    <t>Kannur</t>
  </si>
  <si>
    <t>Material Ordered</t>
  </si>
  <si>
    <t>PRJ001</t>
  </si>
  <si>
    <t>PRJ002</t>
  </si>
  <si>
    <t>PRJ003</t>
  </si>
  <si>
    <t>PRJ004</t>
  </si>
  <si>
    <t>PRJ005</t>
  </si>
  <si>
    <t>PRJ006</t>
  </si>
  <si>
    <t>PRJ007</t>
  </si>
  <si>
    <t>PRJ008</t>
  </si>
  <si>
    <t>PRJ009</t>
  </si>
  <si>
    <t>PRJ010</t>
  </si>
  <si>
    <t>Skyline Residency</t>
  </si>
  <si>
    <t>Green Valley Apartments</t>
  </si>
  <si>
    <t>Orchid Hospital</t>
  </si>
  <si>
    <t>Metro Business Park</t>
  </si>
  <si>
    <t>City Centre Mall</t>
  </si>
  <si>
    <t>River View Residency</t>
  </si>
  <si>
    <t>Tech Square Offices</t>
  </si>
  <si>
    <t>Sunrise Towers</t>
  </si>
  <si>
    <t>Grand Palace Hotel</t>
  </si>
  <si>
    <t>Harmony Heights</t>
  </si>
  <si>
    <t>Project Value (₹  Lakhs)</t>
  </si>
  <si>
    <t>Row Labels</t>
  </si>
  <si>
    <t>Grand Total</t>
  </si>
  <si>
    <t>Count of Project ID</t>
  </si>
  <si>
    <t>Mechanical Completion</t>
  </si>
  <si>
    <t>Testing &amp; Commissioning</t>
  </si>
  <si>
    <t>Idukki</t>
  </si>
  <si>
    <t>Kasaragod</t>
  </si>
  <si>
    <t>PROJECT MONITORING DASHBOARD</t>
  </si>
  <si>
    <t>TOTAL PROJECTS</t>
  </si>
  <si>
    <t>COMPLETED</t>
  </si>
  <si>
    <t>IN PROGRESS</t>
  </si>
  <si>
    <t>HANDOVERS</t>
  </si>
  <si>
    <t>Delay Status</t>
  </si>
  <si>
    <t>Early</t>
  </si>
  <si>
    <t>On Time</t>
  </si>
  <si>
    <t>DELAYED PROJECTS</t>
  </si>
  <si>
    <t>ON-TIME COMPLETION</t>
  </si>
  <si>
    <t>Average of Delay (Days)</t>
  </si>
  <si>
    <t>AVERAGE DELAY</t>
  </si>
  <si>
    <t>Sum of Project Value (₹  Lakhs)</t>
  </si>
  <si>
    <t>TOTAL PROJECT VALUE</t>
  </si>
  <si>
    <t>Average of Project Value (₹  Lakhs)</t>
  </si>
  <si>
    <t>AVERAGE PROJECT VALUE</t>
  </si>
  <si>
    <t>Emerald Apartments 020</t>
  </si>
  <si>
    <t>Emerald Apartments 100</t>
  </si>
  <si>
    <t>Emerald Apartments 180</t>
  </si>
  <si>
    <t>Emerald Apartments 260</t>
  </si>
  <si>
    <t>Emerald Business Centre 060</t>
  </si>
  <si>
    <t>Emerald Business Centre 140</t>
  </si>
  <si>
    <t>Emerald Business Centre 220</t>
  </si>
  <si>
    <t>Emerald Business Centre 300</t>
  </si>
  <si>
    <t>Emerald Care Hospital 080</t>
  </si>
  <si>
    <t>Emerald Care Hospital 160</t>
  </si>
  <si>
    <t>Emerald Care Hospital 240</t>
  </si>
  <si>
    <t>Emerald Enclave 050</t>
  </si>
  <si>
    <t>Emerald Enclave 130</t>
  </si>
  <si>
    <t>Emerald Enclave 210</t>
  </si>
  <si>
    <t>Emerald Enclave 290</t>
  </si>
  <si>
    <t>Emerald Grand Hotel 070</t>
  </si>
  <si>
    <t>Emerald Grand Hotel 150</t>
  </si>
  <si>
    <t>Emerald Grand Hotel 230</t>
  </si>
  <si>
    <t>Emerald Heights 030</t>
  </si>
  <si>
    <t>Emerald Heights 110</t>
  </si>
  <si>
    <t>Emerald Heights 190</t>
  </si>
  <si>
    <t>Emerald Heights 270</t>
  </si>
  <si>
    <t>Emerald Residency 090</t>
  </si>
  <si>
    <t>Emerald Residency 170</t>
  </si>
  <si>
    <t>Emerald Residency 250</t>
  </si>
  <si>
    <t>Emerald Towers 040</t>
  </si>
  <si>
    <t>Emerald Towers 120</t>
  </si>
  <si>
    <t>Emerald Towers 200</t>
  </si>
  <si>
    <t>Emerald Towers 280</t>
  </si>
  <si>
    <t>Golden Gate Apartments 019</t>
  </si>
  <si>
    <t>Golden Gate Apartments 099</t>
  </si>
  <si>
    <t>Golden Gate Apartments 179</t>
  </si>
  <si>
    <t>Golden Gate Apartments 259</t>
  </si>
  <si>
    <t>Golden Gate Business Centre 059</t>
  </si>
  <si>
    <t>Golden Gate Business Centre 139</t>
  </si>
  <si>
    <t>Golden Gate Business Centre 219</t>
  </si>
  <si>
    <t>Golden Gate Business Centre 299</t>
  </si>
  <si>
    <t>Golden Gate Care Hospital 079</t>
  </si>
  <si>
    <t>Golden Gate Care Hospital 159</t>
  </si>
  <si>
    <t>Golden Gate Care Hospital 239</t>
  </si>
  <si>
    <t>Golden Gate Enclave 049</t>
  </si>
  <si>
    <t>Golden Gate Enclave 129</t>
  </si>
  <si>
    <t>Golden Gate Enclave 209</t>
  </si>
  <si>
    <t>Golden Gate Enclave 289</t>
  </si>
  <si>
    <t>Golden Gate Grand Hotel 069</t>
  </si>
  <si>
    <t>Golden Gate Grand Hotel 149</t>
  </si>
  <si>
    <t>Golden Gate Grand Hotel 229</t>
  </si>
  <si>
    <t>Golden Gate Heights 029</t>
  </si>
  <si>
    <t>Golden Gate Heights 109</t>
  </si>
  <si>
    <t>Golden Gate Heights 189</t>
  </si>
  <si>
    <t>Golden Gate Heights 269</t>
  </si>
  <si>
    <t>Golden Gate Residency 089</t>
  </si>
  <si>
    <t>Golden Gate Residency 169</t>
  </si>
  <si>
    <t>Golden Gate Residency 249</t>
  </si>
  <si>
    <t>Golden Gate Towers 039</t>
  </si>
  <si>
    <t>Golden Gate Towers 119</t>
  </si>
  <si>
    <t>Golden Gate Towers 199</t>
  </si>
  <si>
    <t>Golden Gate Towers 279</t>
  </si>
  <si>
    <t>Green Valley Apartments 011</t>
  </si>
  <si>
    <t>Green Valley Apartments 091</t>
  </si>
  <si>
    <t>Green Valley Apartments 171</t>
  </si>
  <si>
    <t>Green Valley Apartments 251</t>
  </si>
  <si>
    <t>Green Valley Business Centre 051</t>
  </si>
  <si>
    <t>Green Valley Business Centre 131</t>
  </si>
  <si>
    <t>Green Valley Business Centre 211</t>
  </si>
  <si>
    <t>Green Valley Business Centre 291</t>
  </si>
  <si>
    <t>Green Valley Care Hospital 071</t>
  </si>
  <si>
    <t>Green Valley Care Hospital 151</t>
  </si>
  <si>
    <t>Green Valley Care Hospital 231</t>
  </si>
  <si>
    <t>Green Valley Enclave 041</t>
  </si>
  <si>
    <t>Green Valley Enclave 121</t>
  </si>
  <si>
    <t>Green Valley Enclave 201</t>
  </si>
  <si>
    <t>Green Valley Enclave 281</t>
  </si>
  <si>
    <t>Green Valley Grand Hotel 061</t>
  </si>
  <si>
    <t>Green Valley Grand Hotel 141</t>
  </si>
  <si>
    <t>Green Valley Grand Hotel 221</t>
  </si>
  <si>
    <t>Green Valley Heights 021</t>
  </si>
  <si>
    <t>Green Valley Heights 101</t>
  </si>
  <si>
    <t>Green Valley Heights 181</t>
  </si>
  <si>
    <t>Green Valley Heights 261</t>
  </si>
  <si>
    <t>Green Valley Residency 081</t>
  </si>
  <si>
    <t>Green Valley Residency 161</t>
  </si>
  <si>
    <t>Green Valley Residency 241</t>
  </si>
  <si>
    <t>Green Valley Towers 031</t>
  </si>
  <si>
    <t>Green Valley Towers 111</t>
  </si>
  <si>
    <t>Green Valley Towers 191</t>
  </si>
  <si>
    <t>Green Valley Towers 271</t>
  </si>
  <si>
    <t>Harmony Apartments 014</t>
  </si>
  <si>
    <t>Harmony Apartments 094</t>
  </si>
  <si>
    <t>Harmony Apartments 174</t>
  </si>
  <si>
    <t>Harmony Apartments 254</t>
  </si>
  <si>
    <t>Harmony Business Centre 054</t>
  </si>
  <si>
    <t>Harmony Business Centre 134</t>
  </si>
  <si>
    <t>Harmony Business Centre 214</t>
  </si>
  <si>
    <t>Harmony Business Centre 294</t>
  </si>
  <si>
    <t>Harmony Care Hospital 074</t>
  </si>
  <si>
    <t>Harmony Care Hospital 154</t>
  </si>
  <si>
    <t>Harmony Care Hospital 234</t>
  </si>
  <si>
    <t>Harmony Enclave 044</t>
  </si>
  <si>
    <t>Harmony Enclave 124</t>
  </si>
  <si>
    <t>Harmony Enclave 204</t>
  </si>
  <si>
    <t>Harmony Enclave 284</t>
  </si>
  <si>
    <t>Harmony Grand Hotel 064</t>
  </si>
  <si>
    <t>Harmony Grand Hotel 144</t>
  </si>
  <si>
    <t>Harmony Grand Hotel 224</t>
  </si>
  <si>
    <t>Harmony Heights 024</t>
  </si>
  <si>
    <t>Harmony Heights 104</t>
  </si>
  <si>
    <t>Harmony Heights 184</t>
  </si>
  <si>
    <t>Harmony Heights 264</t>
  </si>
  <si>
    <t>Harmony Residency 084</t>
  </si>
  <si>
    <t>Harmony Residency 164</t>
  </si>
  <si>
    <t>Harmony Residency 244</t>
  </si>
  <si>
    <t>Harmony Towers 034</t>
  </si>
  <si>
    <t>Harmony Towers 114</t>
  </si>
  <si>
    <t>Harmony Towers 194</t>
  </si>
  <si>
    <t>Harmony Towers 274</t>
  </si>
  <si>
    <t>Lakeside Apartments 015</t>
  </si>
  <si>
    <t>Lakeside Apartments 095</t>
  </si>
  <si>
    <t>Lakeside Apartments 175</t>
  </si>
  <si>
    <t>Lakeside Apartments 255</t>
  </si>
  <si>
    <t>Lakeside Business Centre 055</t>
  </si>
  <si>
    <t>Lakeside Business Centre 135</t>
  </si>
  <si>
    <t>Lakeside Business Centre 215</t>
  </si>
  <si>
    <t>Lakeside Business Centre 295</t>
  </si>
  <si>
    <t>Lakeside Care Hospital 075</t>
  </si>
  <si>
    <t>Lakeside Care Hospital 155</t>
  </si>
  <si>
    <t>Lakeside Care Hospital 235</t>
  </si>
  <si>
    <t>Lakeside Enclave 045</t>
  </si>
  <si>
    <t>Lakeside Enclave 125</t>
  </si>
  <si>
    <t>Lakeside Enclave 205</t>
  </si>
  <si>
    <t>Lakeside Enclave 285</t>
  </si>
  <si>
    <t>Lakeside Grand Hotel 065</t>
  </si>
  <si>
    <t>Lakeside Grand Hotel 145</t>
  </si>
  <si>
    <t>Lakeside Grand Hotel 225</t>
  </si>
  <si>
    <t>Lakeside Heights 025</t>
  </si>
  <si>
    <t>Lakeside Heights 105</t>
  </si>
  <si>
    <t>Lakeside Heights 185</t>
  </si>
  <si>
    <t>Lakeside Heights 265</t>
  </si>
  <si>
    <t>Lakeside Residency 085</t>
  </si>
  <si>
    <t>Lakeside Residency 165</t>
  </si>
  <si>
    <t>Lakeside Residency 245</t>
  </si>
  <si>
    <t>Lakeside Towers 035</t>
  </si>
  <si>
    <t>Lakeside Towers 115</t>
  </si>
  <si>
    <t>Lakeside Towers 195</t>
  </si>
  <si>
    <t>Lakeside Towers 275</t>
  </si>
  <si>
    <t>River View Apartments 018</t>
  </si>
  <si>
    <t>River View Apartments 098</t>
  </si>
  <si>
    <t>River View Apartments 178</t>
  </si>
  <si>
    <t>River View Apartments 258</t>
  </si>
  <si>
    <t>River View Business Centre 058</t>
  </si>
  <si>
    <t>River View Business Centre 138</t>
  </si>
  <si>
    <t>River View Business Centre 218</t>
  </si>
  <si>
    <t>River View Business Centre 298</t>
  </si>
  <si>
    <t>River View Care Hospital 078</t>
  </si>
  <si>
    <t>River View Care Hospital 158</t>
  </si>
  <si>
    <t>River View Care Hospital 238</t>
  </si>
  <si>
    <t>River View Enclave 048</t>
  </si>
  <si>
    <t>River View Enclave 128</t>
  </si>
  <si>
    <t>River View Enclave 208</t>
  </si>
  <si>
    <t>River View Enclave 288</t>
  </si>
  <si>
    <t>River View Grand Hotel 068</t>
  </si>
  <si>
    <t>River View Grand Hotel 148</t>
  </si>
  <si>
    <t>River View Grand Hotel 228</t>
  </si>
  <si>
    <t>River View Heights 028</t>
  </si>
  <si>
    <t>River View Heights 108</t>
  </si>
  <si>
    <t>River View Heights 188</t>
  </si>
  <si>
    <t>River View Heights 268</t>
  </si>
  <si>
    <t>River View Residency 088</t>
  </si>
  <si>
    <t>River View Residency 168</t>
  </si>
  <si>
    <t>River View Residency 248</t>
  </si>
  <si>
    <t>River View Towers 038</t>
  </si>
  <si>
    <t>River View Towers 118</t>
  </si>
  <si>
    <t>River View Towers 198</t>
  </si>
  <si>
    <t>River View Towers 278</t>
  </si>
  <si>
    <t>Royal Palm Apartments 012</t>
  </si>
  <si>
    <t>Royal Palm Apartments 092</t>
  </si>
  <si>
    <t>Royal Palm Apartments 172</t>
  </si>
  <si>
    <t>Royal Palm Apartments 252</t>
  </si>
  <si>
    <t>Royal Palm Business Centre 052</t>
  </si>
  <si>
    <t>Royal Palm Business Centre 132</t>
  </si>
  <si>
    <t>Royal Palm Business Centre 212</t>
  </si>
  <si>
    <t>Royal Palm Business Centre 292</t>
  </si>
  <si>
    <t>Royal Palm Care Hospital 072</t>
  </si>
  <si>
    <t>Royal Palm Care Hospital 152</t>
  </si>
  <si>
    <t>Royal Palm Care Hospital 232</t>
  </si>
  <si>
    <t>Royal Palm Enclave 042</t>
  </si>
  <si>
    <t>Royal Palm Enclave 122</t>
  </si>
  <si>
    <t>Royal Palm Enclave 202</t>
  </si>
  <si>
    <t>Royal Palm Enclave 282</t>
  </si>
  <si>
    <t>Royal Palm Grand Hotel 062</t>
  </si>
  <si>
    <t>Royal Palm Grand Hotel 142</t>
  </si>
  <si>
    <t>Royal Palm Grand Hotel 222</t>
  </si>
  <si>
    <t>Royal Palm Heights 022</t>
  </si>
  <si>
    <t>Royal Palm Heights 102</t>
  </si>
  <si>
    <t>Royal Palm Heights 182</t>
  </si>
  <si>
    <t>Royal Palm Heights 262</t>
  </si>
  <si>
    <t>Royal Palm Residency 082</t>
  </si>
  <si>
    <t>Royal Palm Residency 162</t>
  </si>
  <si>
    <t>Royal Palm Residency 242</t>
  </si>
  <si>
    <t>Royal Palm Towers 032</t>
  </si>
  <si>
    <t>Royal Palm Towers 112</t>
  </si>
  <si>
    <t>Royal Palm Towers 192</t>
  </si>
  <si>
    <t>Royal Palm Towers 272</t>
  </si>
  <si>
    <t>Silver Oak Apartments 017</t>
  </si>
  <si>
    <t>Silver Oak Apartments 097</t>
  </si>
  <si>
    <t>Silver Oak Apartments 177</t>
  </si>
  <si>
    <t>Silver Oak Apartments 257</t>
  </si>
  <si>
    <t>Silver Oak Business Centre 057</t>
  </si>
  <si>
    <t>Silver Oak Business Centre 137</t>
  </si>
  <si>
    <t>Silver Oak Business Centre 217</t>
  </si>
  <si>
    <t>Silver Oak Business Centre 297</t>
  </si>
  <si>
    <t>Silver Oak Care Hospital 077</t>
  </si>
  <si>
    <t>Silver Oak Care Hospital 157</t>
  </si>
  <si>
    <t>Silver Oak Care Hospital 237</t>
  </si>
  <si>
    <t>Silver Oak Enclave 047</t>
  </si>
  <si>
    <t>Silver Oak Enclave 127</t>
  </si>
  <si>
    <t>Silver Oak Enclave 207</t>
  </si>
  <si>
    <t>Silver Oak Enclave 287</t>
  </si>
  <si>
    <t>Silver Oak Grand Hotel 067</t>
  </si>
  <si>
    <t>Silver Oak Grand Hotel 147</t>
  </si>
  <si>
    <t>Silver Oak Grand Hotel 227</t>
  </si>
  <si>
    <t>Silver Oak Heights 027</t>
  </si>
  <si>
    <t>Silver Oak Heights 107</t>
  </si>
  <si>
    <t>Silver Oak Heights 187</t>
  </si>
  <si>
    <t>Silver Oak Heights 267</t>
  </si>
  <si>
    <t>Silver Oak Residency 087</t>
  </si>
  <si>
    <t>Silver Oak Residency 167</t>
  </si>
  <si>
    <t>Silver Oak Residency 247</t>
  </si>
  <si>
    <t>Silver Oak Towers 037</t>
  </si>
  <si>
    <t>Silver Oak Towers 117</t>
  </si>
  <si>
    <t>Silver Oak Towers 197</t>
  </si>
  <si>
    <t>Silver Oak Towers 277</t>
  </si>
  <si>
    <t>Skyline Apartments 013</t>
  </si>
  <si>
    <t>Skyline Apartments 093</t>
  </si>
  <si>
    <t>Skyline Apartments 173</t>
  </si>
  <si>
    <t>Skyline Apartments 253</t>
  </si>
  <si>
    <t>Skyline Business Centre 053</t>
  </si>
  <si>
    <t>Skyline Business Centre 133</t>
  </si>
  <si>
    <t>Skyline Business Centre 213</t>
  </si>
  <si>
    <t>Skyline Business Centre 293</t>
  </si>
  <si>
    <t>Skyline Care Hospital 073</t>
  </si>
  <si>
    <t>Skyline Care Hospital 153</t>
  </si>
  <si>
    <t>Skyline Care Hospital 233</t>
  </si>
  <si>
    <t>Skyline Enclave 043</t>
  </si>
  <si>
    <t>Skyline Enclave 123</t>
  </si>
  <si>
    <t>Skyline Enclave 203</t>
  </si>
  <si>
    <t>Skyline Enclave 283</t>
  </si>
  <si>
    <t>Skyline Grand Hotel 063</t>
  </si>
  <si>
    <t>Skyline Grand Hotel 143</t>
  </si>
  <si>
    <t>Skyline Grand Hotel 223</t>
  </si>
  <si>
    <t>Skyline Heights 023</t>
  </si>
  <si>
    <t>Skyline Heights 103</t>
  </si>
  <si>
    <t>Skyline Heights 183</t>
  </si>
  <si>
    <t>Skyline Heights 263</t>
  </si>
  <si>
    <t>Skyline Residency 083</t>
  </si>
  <si>
    <t>Skyline Residency 163</t>
  </si>
  <si>
    <t>Skyline Residency 243</t>
  </si>
  <si>
    <t>Skyline Towers 033</t>
  </si>
  <si>
    <t>Skyline Towers 113</t>
  </si>
  <si>
    <t>Skyline Towers 193</t>
  </si>
  <si>
    <t>Skyline Towers 273</t>
  </si>
  <si>
    <t>Sunrise Apartments 016</t>
  </si>
  <si>
    <t>Sunrise Apartments 096</t>
  </si>
  <si>
    <t>Sunrise Apartments 176</t>
  </si>
  <si>
    <t>Sunrise Apartments 256</t>
  </si>
  <si>
    <t>Sunrise Business Centre 056</t>
  </si>
  <si>
    <t>Sunrise Business Centre 136</t>
  </si>
  <si>
    <t>Sunrise Business Centre 216</t>
  </si>
  <si>
    <t>Sunrise Business Centre 296</t>
  </si>
  <si>
    <t>Sunrise Care Hospital 076</t>
  </si>
  <si>
    <t>Sunrise Care Hospital 156</t>
  </si>
  <si>
    <t>Sunrise Care Hospital 236</t>
  </si>
  <si>
    <t>Sunrise Enclave 046</t>
  </si>
  <si>
    <t>Sunrise Enclave 126</t>
  </si>
  <si>
    <t>Sunrise Enclave 206</t>
  </si>
  <si>
    <t>Sunrise Enclave 286</t>
  </si>
  <si>
    <t>Sunrise Grand Hotel 066</t>
  </si>
  <si>
    <t>Sunrise Grand Hotel 146</t>
  </si>
  <si>
    <t>Sunrise Grand Hotel 226</t>
  </si>
  <si>
    <t>Sunrise Heights 026</t>
  </si>
  <si>
    <t>Sunrise Heights 106</t>
  </si>
  <si>
    <t>Sunrise Heights 186</t>
  </si>
  <si>
    <t>Sunrise Heights 266</t>
  </si>
  <si>
    <t>Sunrise Residency 086</t>
  </si>
  <si>
    <t>Sunrise Residency 166</t>
  </si>
  <si>
    <t>Sunrise Residency 246</t>
  </si>
  <si>
    <t>Sunrise Towers 036</t>
  </si>
  <si>
    <t>Sunrise Towers 116</t>
  </si>
  <si>
    <t>Sunrise Towers 196</t>
  </si>
  <si>
    <t>Sunrise Towers 276</t>
  </si>
  <si>
    <t>HIGHEST VALUE PROJECT ANALYSIS</t>
  </si>
  <si>
    <t>Highest Project Value : ₹65 Lakhs</t>
  </si>
  <si>
    <t>Highest Value Projects : Multiple</t>
  </si>
  <si>
    <t>Answer</t>
  </si>
  <si>
    <t>Countifs</t>
  </si>
  <si>
    <t>North Kerala- Completed projects</t>
  </si>
  <si>
    <t>Completed projects are there in North Kerala for the Hospital customer type</t>
  </si>
  <si>
    <t>Project Value</t>
  </si>
  <si>
    <t>Sumifs</t>
  </si>
  <si>
    <t>total Project Value of Completed projects in North Kerala</t>
  </si>
  <si>
    <t>total Project Value of projects in North Kerala, regardless of Status</t>
  </si>
  <si>
    <t xml:space="preserve">Sumif </t>
  </si>
  <si>
    <t>Averageif</t>
  </si>
  <si>
    <t>Averageifs</t>
  </si>
  <si>
    <t>Number of Projects</t>
  </si>
  <si>
    <t>iferror</t>
  </si>
  <si>
    <t>Kochi Heights</t>
  </si>
  <si>
    <t>Metro Tower</t>
  </si>
  <si>
    <t>City Hospital</t>
  </si>
  <si>
    <t>IFERROR</t>
  </si>
  <si>
    <t>VLOKKUP</t>
  </si>
  <si>
    <t>PRJ301</t>
  </si>
  <si>
    <t>Tech Park Tower 301</t>
  </si>
  <si>
    <t>PRJ302</t>
  </si>
  <si>
    <t>Lake View Hospital 302</t>
  </si>
  <si>
    <t>Ernakulam</t>
  </si>
  <si>
    <t>PRJ303</t>
  </si>
  <si>
    <t>Green Valley Hotel 303</t>
  </si>
  <si>
    <t>PRJ304</t>
  </si>
  <si>
    <t>Sunrise Apartments 304</t>
  </si>
  <si>
    <t>PRJ305</t>
  </si>
  <si>
    <t>Metro Office Complex 305</t>
  </si>
  <si>
    <t>Checking Duplicte</t>
  </si>
  <si>
    <t>Blank Value</t>
  </si>
  <si>
    <t>A2 to A307</t>
  </si>
  <si>
    <t>A2 to A306</t>
  </si>
  <si>
    <t>Customer Type -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</si>
</sst>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dd/mmm/yyyy"/>
    <numFmt numFmtId="167" formatCode="&quot;₹&quot;\ #,##0.00"/>
  </numFmts>
  <fonts count="10"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20"/>
      <color theme="1"/>
      <name val="Calibri"/>
      <family val="2"/>
      <scheme val="minor"/>
    </font>
    <font>
      <b/>
      <sz val="24"/>
      <color theme="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0070C0"/>
        <bgColor indexed="64"/>
      </patternFill>
    </fill>
    <fill>
      <patternFill patternType="solid">
        <fgColor rgb="FFA3DBFF"/>
        <bgColor indexed="64"/>
      </patternFill>
    </fill>
    <fill>
      <patternFill patternType="solid">
        <fgColor theme="5"/>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2" fillId="2"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65" fontId="2" fillId="2" borderId="0" xfId="0" applyNumberFormat="1" applyFont="1" applyFill="1" applyAlignment="1">
      <alignment horizontal="center" vertical="center"/>
    </xf>
    <xf numFmtId="165" fontId="0" fillId="0" borderId="0" xfId="0" applyNumberFormat="1" applyAlignment="1">
      <alignment horizontal="center" vertical="center"/>
    </xf>
    <xf numFmtId="0" fontId="2" fillId="2" borderId="0" xfId="0" applyFont="1" applyFill="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vertical="center" wrapText="1"/>
    </xf>
    <xf numFmtId="0" fontId="6" fillId="0" borderId="7" xfId="0" applyFont="1" applyBorder="1" applyAlignment="1">
      <alignment horizontal="center" vertical="center" wrapText="1"/>
    </xf>
    <xf numFmtId="0" fontId="7" fillId="0" borderId="7" xfId="0" applyFont="1" applyBorder="1" applyAlignment="1">
      <alignment vertical="center" wrapText="1"/>
    </xf>
    <xf numFmtId="0" fontId="7" fillId="0" borderId="0" xfId="0" applyFont="1" applyAlignment="1">
      <alignment vertical="center" wrapText="1"/>
    </xf>
    <xf numFmtId="0" fontId="6" fillId="0" borderId="7" xfId="0" applyFont="1" applyBorder="1" applyAlignment="1">
      <alignment horizontal="right" vertical="center" wrapText="1"/>
    </xf>
    <xf numFmtId="0" fontId="7" fillId="0" borderId="7" xfId="0" applyFont="1" applyBorder="1" applyAlignment="1">
      <alignment horizontal="right" vertical="center" wrapText="1"/>
    </xf>
    <xf numFmtId="0" fontId="8" fillId="0" borderId="7" xfId="0" applyFont="1" applyBorder="1" applyAlignment="1">
      <alignment horizontal="center" vertical="center" wrapText="1"/>
    </xf>
    <xf numFmtId="0" fontId="8" fillId="0" borderId="7" xfId="0" applyFont="1" applyBorder="1" applyAlignment="1">
      <alignment horizontal="right" vertical="center" wrapText="1"/>
    </xf>
    <xf numFmtId="0" fontId="9" fillId="0" borderId="7" xfId="0" applyFont="1" applyBorder="1" applyAlignment="1">
      <alignment vertical="center" wrapText="1"/>
    </xf>
    <xf numFmtId="0" fontId="9" fillId="0" borderId="7" xfId="0" applyFont="1" applyBorder="1" applyAlignment="1">
      <alignment horizontal="right" vertical="center" wrapText="1"/>
    </xf>
    <xf numFmtId="0" fontId="1" fillId="3" borderId="0" xfId="0" applyFont="1" applyFill="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2" fontId="5" fillId="4" borderId="1" xfId="0" applyNumberFormat="1" applyFont="1" applyFill="1" applyBorder="1" applyAlignment="1">
      <alignment horizontal="center" vertical="center"/>
    </xf>
    <xf numFmtId="2" fontId="5" fillId="4" borderId="2"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2" fontId="5" fillId="4" borderId="4" xfId="0" applyNumberFormat="1" applyFont="1" applyFill="1" applyBorder="1" applyAlignment="1">
      <alignment horizontal="center" vertical="center"/>
    </xf>
    <xf numFmtId="2" fontId="5" fillId="4" borderId="5" xfId="0" applyNumberFormat="1" applyFont="1" applyFill="1" applyBorder="1" applyAlignment="1">
      <alignment horizontal="center" vertical="center"/>
    </xf>
    <xf numFmtId="2" fontId="5" fillId="4" borderId="6" xfId="0" applyNumberFormat="1" applyFont="1" applyFill="1" applyBorder="1" applyAlignment="1">
      <alignment horizontal="center" vertical="center"/>
    </xf>
    <xf numFmtId="0" fontId="4" fillId="0" borderId="0" xfId="0" applyFont="1" applyAlignment="1">
      <alignment horizontal="center" vertical="center"/>
    </xf>
    <xf numFmtId="0" fontId="0" fillId="0" borderId="0" xfId="0" applyNumberFormat="1"/>
    <xf numFmtId="167" fontId="5" fillId="4" borderId="1" xfId="0" applyNumberFormat="1" applyFont="1" applyFill="1" applyBorder="1" applyAlignment="1">
      <alignment horizontal="center" vertical="center"/>
    </xf>
    <xf numFmtId="167" fontId="5" fillId="4" borderId="2" xfId="0" applyNumberFormat="1" applyFont="1" applyFill="1" applyBorder="1" applyAlignment="1">
      <alignment horizontal="center" vertical="center"/>
    </xf>
    <xf numFmtId="167" fontId="5" fillId="4" borderId="3" xfId="0" applyNumberFormat="1" applyFont="1" applyFill="1" applyBorder="1" applyAlignment="1">
      <alignment horizontal="center" vertical="center"/>
    </xf>
    <xf numFmtId="167" fontId="5" fillId="4" borderId="4" xfId="0" applyNumberFormat="1" applyFont="1" applyFill="1" applyBorder="1" applyAlignment="1">
      <alignment horizontal="center" vertical="center"/>
    </xf>
    <xf numFmtId="167" fontId="5" fillId="4" borderId="5" xfId="0" applyNumberFormat="1" applyFont="1" applyFill="1" applyBorder="1" applyAlignment="1">
      <alignment horizontal="center" vertical="center"/>
    </xf>
    <xf numFmtId="167" fontId="5" fillId="4" borderId="6" xfId="0" applyNumberFormat="1" applyFont="1" applyFill="1" applyBorder="1" applyAlignment="1">
      <alignment horizontal="center" vertical="center"/>
    </xf>
    <xf numFmtId="0" fontId="2" fillId="0" borderId="7" xfId="0" applyFont="1" applyBorder="1" applyAlignment="1">
      <alignment horizontal="center"/>
    </xf>
    <xf numFmtId="0" fontId="2" fillId="5" borderId="7" xfId="0" applyFont="1" applyFill="1" applyBorder="1" applyAlignment="1">
      <alignment horizontal="center"/>
    </xf>
  </cellXfs>
  <cellStyles count="1">
    <cellStyle name="Normal" xfId="0" builtinId="0"/>
  </cellStyles>
  <dxfs count="19">
    <dxf>
      <fill>
        <patternFill>
          <bgColor theme="7" tint="0.59996337778862885"/>
        </patternFill>
      </fill>
    </dxf>
    <dxf>
      <fill>
        <patternFill>
          <bgColor rgb="FFFF5050"/>
        </patternFill>
      </fill>
    </dxf>
    <dxf>
      <fill>
        <patternFill>
          <bgColor theme="9"/>
        </patternFill>
      </fill>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center" textRotation="0" wrapText="0"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(autorecoverd).xlsx]Pivot!pvttbl_Regionwisecount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Project Count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Pivot!$A$2:$A$5</c:f>
              <c:strCache>
                <c:ptCount val="3"/>
                <c:pt idx="0">
                  <c:v>Central Kerala</c:v>
                </c:pt>
                <c:pt idx="1">
                  <c:v>North Kerala</c:v>
                </c:pt>
                <c:pt idx="2">
                  <c:v>South Kerala</c:v>
                </c:pt>
              </c:strCache>
            </c:strRef>
          </c:cat>
          <c:val>
            <c:numRef>
              <c:f>Pivot!$B$2:$B$5</c:f>
              <c:numCache>
                <c:formatCode>General</c:formatCode>
                <c:ptCount val="3"/>
                <c:pt idx="0">
                  <c:v>105</c:v>
                </c:pt>
                <c:pt idx="1">
                  <c:v>100</c:v>
                </c:pt>
                <c:pt idx="2">
                  <c:v>100</c:v>
                </c:pt>
              </c:numCache>
            </c:numRef>
          </c:val>
          <c:extLst>
            <c:ext xmlns:c16="http://schemas.microsoft.com/office/drawing/2014/chart" uri="{C3380CC4-5D6E-409C-BE32-E72D297353CC}">
              <c16:uniqueId val="{00000000-4553-4BBD-B4BA-B29D4F8D44F3}"/>
            </c:ext>
          </c:extLst>
        </c:ser>
        <c:dLbls>
          <c:showLegendKey val="0"/>
          <c:showVal val="0"/>
          <c:showCatName val="0"/>
          <c:showSerName val="0"/>
          <c:showPercent val="0"/>
          <c:showBubbleSize val="0"/>
        </c:dLbls>
        <c:gapWidth val="219"/>
        <c:overlap val="-27"/>
        <c:axId val="1829274079"/>
        <c:axId val="1829283199"/>
      </c:barChart>
      <c:catAx>
        <c:axId val="182927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83199"/>
        <c:crosses val="autoZero"/>
        <c:auto val="1"/>
        <c:lblAlgn val="ctr"/>
        <c:lblOffset val="100"/>
        <c:noMultiLvlLbl val="0"/>
      </c:catAx>
      <c:valAx>
        <c:axId val="182928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7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(autorecoverd).xlsx]Pivot!pvttbl_installationstge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Installation Stage-Wise Project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cat>
            <c:strRef>
              <c:f>Pivot!$D$2:$D$8</c:f>
              <c:strCache>
                <c:ptCount val="6"/>
                <c:pt idx="0">
                  <c:v>Handover</c:v>
                </c:pt>
                <c:pt idx="1">
                  <c:v>Installation Started</c:v>
                </c:pt>
                <c:pt idx="2">
                  <c:v>Material Delivered</c:v>
                </c:pt>
                <c:pt idx="3">
                  <c:v>Material Ordered</c:v>
                </c:pt>
                <c:pt idx="4">
                  <c:v>Mechanical Completion</c:v>
                </c:pt>
                <c:pt idx="5">
                  <c:v>Testing &amp; Commissioning</c:v>
                </c:pt>
              </c:strCache>
            </c:strRef>
          </c:cat>
          <c:val>
            <c:numRef>
              <c:f>Pivot!$E$2:$E$8</c:f>
              <c:numCache>
                <c:formatCode>General</c:formatCode>
                <c:ptCount val="6"/>
                <c:pt idx="0">
                  <c:v>57</c:v>
                </c:pt>
                <c:pt idx="1">
                  <c:v>50</c:v>
                </c:pt>
                <c:pt idx="2">
                  <c:v>50</c:v>
                </c:pt>
                <c:pt idx="3">
                  <c:v>50</c:v>
                </c:pt>
                <c:pt idx="4">
                  <c:v>48</c:v>
                </c:pt>
                <c:pt idx="5">
                  <c:v>50</c:v>
                </c:pt>
              </c:numCache>
            </c:numRef>
          </c:val>
          <c:extLst>
            <c:ext xmlns:c16="http://schemas.microsoft.com/office/drawing/2014/chart" uri="{C3380CC4-5D6E-409C-BE32-E72D297353CC}">
              <c16:uniqueId val="{00000000-4E25-4580-BB83-4800573FA0EC}"/>
            </c:ext>
          </c:extLst>
        </c:ser>
        <c:dLbls>
          <c:showLegendKey val="0"/>
          <c:showVal val="0"/>
          <c:showCatName val="0"/>
          <c:showSerName val="0"/>
          <c:showPercent val="0"/>
          <c:showBubbleSize val="0"/>
        </c:dLbls>
        <c:gapWidth val="219"/>
        <c:overlap val="-27"/>
        <c:axId val="1829296639"/>
        <c:axId val="1829302399"/>
      </c:barChart>
      <c:catAx>
        <c:axId val="182929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02399"/>
        <c:crosses val="autoZero"/>
        <c:auto val="1"/>
        <c:lblAlgn val="ctr"/>
        <c:lblOffset val="100"/>
        <c:noMultiLvlLbl val="0"/>
      </c:catAx>
      <c:valAx>
        <c:axId val="182930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9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(autorecoverd).xlsx]Pivot!pvttbl_statuswise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Status Wise</a:t>
            </a:r>
            <a:r>
              <a:rPr lang="en-IN" baseline="0"/>
              <a:t> Project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solidFill>
            <a:ln>
              <a:noFill/>
            </a:ln>
            <a:effectLst/>
          </c:spPr>
          <c:invertIfNegative val="0"/>
          <c:cat>
            <c:strRef>
              <c:f>Pivot!$H$2:$H$4</c:f>
              <c:strCache>
                <c:ptCount val="2"/>
                <c:pt idx="0">
                  <c:v>Completed</c:v>
                </c:pt>
                <c:pt idx="1">
                  <c:v>In Progress</c:v>
                </c:pt>
              </c:strCache>
            </c:strRef>
          </c:cat>
          <c:val>
            <c:numRef>
              <c:f>Pivot!$I$2:$I$4</c:f>
              <c:numCache>
                <c:formatCode>General</c:formatCode>
                <c:ptCount val="2"/>
                <c:pt idx="0">
                  <c:v>58</c:v>
                </c:pt>
                <c:pt idx="1">
                  <c:v>247</c:v>
                </c:pt>
              </c:numCache>
            </c:numRef>
          </c:val>
          <c:extLst>
            <c:ext xmlns:c16="http://schemas.microsoft.com/office/drawing/2014/chart" uri="{C3380CC4-5D6E-409C-BE32-E72D297353CC}">
              <c16:uniqueId val="{00000000-BEA3-4F73-8050-2A92796CE7DB}"/>
            </c:ext>
          </c:extLst>
        </c:ser>
        <c:dLbls>
          <c:showLegendKey val="0"/>
          <c:showVal val="0"/>
          <c:showCatName val="0"/>
          <c:showSerName val="0"/>
          <c:showPercent val="0"/>
          <c:showBubbleSize val="0"/>
        </c:dLbls>
        <c:gapWidth val="219"/>
        <c:overlap val="-27"/>
        <c:axId val="28483039"/>
        <c:axId val="28479679"/>
      </c:barChart>
      <c:catAx>
        <c:axId val="2848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9679"/>
        <c:crosses val="autoZero"/>
        <c:auto val="1"/>
        <c:lblAlgn val="ctr"/>
        <c:lblOffset val="100"/>
        <c:noMultiLvlLbl val="0"/>
      </c:catAx>
      <c:valAx>
        <c:axId val="2847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(autorecoverd).xlsx]Pivot!pvttbl_HOstatus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Handover Status Wise Project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Pivot!$M$1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14-427D-86AC-2A29C141C2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14-427D-86AC-2A29C141C26C}"/>
              </c:ext>
            </c:extLst>
          </c:dPt>
          <c:cat>
            <c:strRef>
              <c:f>Pivot!$L$2:$L$4</c:f>
              <c:strCache>
                <c:ptCount val="2"/>
                <c:pt idx="0">
                  <c:v>Completed</c:v>
                </c:pt>
                <c:pt idx="1">
                  <c:v>Pending</c:v>
                </c:pt>
              </c:strCache>
            </c:strRef>
          </c:cat>
          <c:val>
            <c:numRef>
              <c:f>Pivot!$M$2:$M$4</c:f>
              <c:numCache>
                <c:formatCode>General</c:formatCode>
                <c:ptCount val="2"/>
                <c:pt idx="0">
                  <c:v>58</c:v>
                </c:pt>
                <c:pt idx="1">
                  <c:v>247</c:v>
                </c:pt>
              </c:numCache>
            </c:numRef>
          </c:val>
          <c:extLst>
            <c:ext xmlns:c16="http://schemas.microsoft.com/office/drawing/2014/chart" uri="{C3380CC4-5D6E-409C-BE32-E72D297353CC}">
              <c16:uniqueId val="{00000000-E8C7-4BDF-8752-24B0E1C6A1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(autorecoverd).xlsx]Pivot!pvttbl_customertypewise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 Wise Project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Pivot!$P$1</c:f>
              <c:strCache>
                <c:ptCount val="1"/>
                <c:pt idx="0">
                  <c:v>Total</c:v>
                </c:pt>
              </c:strCache>
            </c:strRef>
          </c:tx>
          <c:spPr>
            <a:solidFill>
              <a:schemeClr val="accent1"/>
            </a:solidFill>
            <a:ln>
              <a:noFill/>
            </a:ln>
            <a:effectLst/>
          </c:spPr>
          <c:invertIfNegative val="0"/>
          <c:cat>
            <c:strRef>
              <c:f>Pivot!$O$2:$O$9</c:f>
              <c:strCache>
                <c:ptCount val="7"/>
                <c:pt idx="0">
                  <c:v>Apartment</c:v>
                </c:pt>
                <c:pt idx="1">
                  <c:v>Commercial</c:v>
                </c:pt>
                <c:pt idx="2">
                  <c:v>Hospital</c:v>
                </c:pt>
                <c:pt idx="3">
                  <c:v>Hotel</c:v>
                </c:pt>
                <c:pt idx="4">
                  <c:v>Office</c:v>
                </c:pt>
                <c:pt idx="5">
                  <c:v>Residential</c:v>
                </c:pt>
                <c:pt idx="6">
                  <c:v>Shopping Mall</c:v>
                </c:pt>
              </c:strCache>
            </c:strRef>
          </c:cat>
          <c:val>
            <c:numRef>
              <c:f>Pivot!$P$2:$P$9</c:f>
              <c:numCache>
                <c:formatCode>General</c:formatCode>
                <c:ptCount val="7"/>
                <c:pt idx="0">
                  <c:v>49</c:v>
                </c:pt>
                <c:pt idx="1">
                  <c:v>51</c:v>
                </c:pt>
                <c:pt idx="2">
                  <c:v>50</c:v>
                </c:pt>
                <c:pt idx="3">
                  <c:v>51</c:v>
                </c:pt>
                <c:pt idx="4">
                  <c:v>51</c:v>
                </c:pt>
                <c:pt idx="5">
                  <c:v>52</c:v>
                </c:pt>
                <c:pt idx="6">
                  <c:v>1</c:v>
                </c:pt>
              </c:numCache>
            </c:numRef>
          </c:val>
          <c:extLst>
            <c:ext xmlns:c16="http://schemas.microsoft.com/office/drawing/2014/chart" uri="{C3380CC4-5D6E-409C-BE32-E72D297353CC}">
              <c16:uniqueId val="{00000000-5BA0-41B2-9D26-D477365AD163}"/>
            </c:ext>
          </c:extLst>
        </c:ser>
        <c:dLbls>
          <c:showLegendKey val="0"/>
          <c:showVal val="0"/>
          <c:showCatName val="0"/>
          <c:showSerName val="0"/>
          <c:showPercent val="0"/>
          <c:showBubbleSize val="0"/>
        </c:dLbls>
        <c:gapWidth val="150"/>
        <c:overlap val="100"/>
        <c:axId val="1873710559"/>
        <c:axId val="1873710079"/>
      </c:barChart>
      <c:catAx>
        <c:axId val="187371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710079"/>
        <c:crosses val="autoZero"/>
        <c:auto val="1"/>
        <c:lblAlgn val="ctr"/>
        <c:lblOffset val="100"/>
        <c:noMultiLvlLbl val="0"/>
      </c:catAx>
      <c:valAx>
        <c:axId val="187371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71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(autorecoverd).xlsx]Pivot!pvttbl_citywise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Project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c:f>
              <c:strCache>
                <c:ptCount val="1"/>
                <c:pt idx="0">
                  <c:v>Total</c:v>
                </c:pt>
              </c:strCache>
            </c:strRef>
          </c:tx>
          <c:spPr>
            <a:solidFill>
              <a:schemeClr val="accent1"/>
            </a:solidFill>
            <a:ln>
              <a:noFill/>
            </a:ln>
            <a:effectLst/>
          </c:spPr>
          <c:invertIfNegative val="0"/>
          <c:cat>
            <c:strRef>
              <c:f>Pivot!$S$2:$S$14</c:f>
              <c:strCache>
                <c:ptCount val="12"/>
                <c:pt idx="0">
                  <c:v>Alappuzha</c:v>
                </c:pt>
                <c:pt idx="1">
                  <c:v>Idukki</c:v>
                </c:pt>
                <c:pt idx="2">
                  <c:v>Kannur</c:v>
                </c:pt>
                <c:pt idx="3">
                  <c:v>Kasaragod</c:v>
                </c:pt>
                <c:pt idx="4">
                  <c:v>Kochi</c:v>
                </c:pt>
                <c:pt idx="5">
                  <c:v>Kollam</c:v>
                </c:pt>
                <c:pt idx="6">
                  <c:v>Kozhikode</c:v>
                </c:pt>
                <c:pt idx="7">
                  <c:v>Pathanamthitta</c:v>
                </c:pt>
                <c:pt idx="8">
                  <c:v>Thrissur</c:v>
                </c:pt>
                <c:pt idx="9">
                  <c:v>Trivandrum</c:v>
                </c:pt>
                <c:pt idx="10">
                  <c:v>Wayanad</c:v>
                </c:pt>
                <c:pt idx="11">
                  <c:v>Ernakulam</c:v>
                </c:pt>
              </c:strCache>
            </c:strRef>
          </c:cat>
          <c:val>
            <c:numRef>
              <c:f>Pivot!$T$2:$T$14</c:f>
              <c:numCache>
                <c:formatCode>General</c:formatCode>
                <c:ptCount val="12"/>
                <c:pt idx="0">
                  <c:v>26</c:v>
                </c:pt>
                <c:pt idx="1">
                  <c:v>49</c:v>
                </c:pt>
                <c:pt idx="2">
                  <c:v>25</c:v>
                </c:pt>
                <c:pt idx="3">
                  <c:v>24</c:v>
                </c:pt>
                <c:pt idx="4">
                  <c:v>5</c:v>
                </c:pt>
                <c:pt idx="5">
                  <c:v>25</c:v>
                </c:pt>
                <c:pt idx="6">
                  <c:v>26</c:v>
                </c:pt>
                <c:pt idx="7">
                  <c:v>24</c:v>
                </c:pt>
                <c:pt idx="8">
                  <c:v>50</c:v>
                </c:pt>
                <c:pt idx="9">
                  <c:v>25</c:v>
                </c:pt>
                <c:pt idx="10">
                  <c:v>25</c:v>
                </c:pt>
                <c:pt idx="11">
                  <c:v>1</c:v>
                </c:pt>
              </c:numCache>
            </c:numRef>
          </c:val>
          <c:extLst>
            <c:ext xmlns:c16="http://schemas.microsoft.com/office/drawing/2014/chart" uri="{C3380CC4-5D6E-409C-BE32-E72D297353CC}">
              <c16:uniqueId val="{00000000-9B1E-4272-8A98-EA7369CB9807}"/>
            </c:ext>
          </c:extLst>
        </c:ser>
        <c:dLbls>
          <c:showLegendKey val="0"/>
          <c:showVal val="0"/>
          <c:showCatName val="0"/>
          <c:showSerName val="0"/>
          <c:showPercent val="0"/>
          <c:showBubbleSize val="0"/>
        </c:dLbls>
        <c:gapWidth val="182"/>
        <c:axId val="1829325919"/>
        <c:axId val="1829309599"/>
      </c:barChart>
      <c:catAx>
        <c:axId val="182932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09599"/>
        <c:crosses val="autoZero"/>
        <c:auto val="1"/>
        <c:lblAlgn val="ctr"/>
        <c:lblOffset val="100"/>
        <c:noMultiLvlLbl val="0"/>
      </c:catAx>
      <c:valAx>
        <c:axId val="182930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Delay Satus-Wise Project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Pivot!$A$32:$A$36</c:f>
              <c:strCache>
                <c:ptCount val="4"/>
                <c:pt idx="0">
                  <c:v>Delayed</c:v>
                </c:pt>
                <c:pt idx="1">
                  <c:v>Early</c:v>
                </c:pt>
                <c:pt idx="2">
                  <c:v>In Progress</c:v>
                </c:pt>
                <c:pt idx="3">
                  <c:v>On Time</c:v>
                </c:pt>
              </c:strCache>
            </c:strRef>
          </c:cat>
          <c:val>
            <c:numRef>
              <c:f>Pivot!$B$32:$B$36</c:f>
              <c:numCache>
                <c:formatCode>General</c:formatCode>
                <c:ptCount val="4"/>
                <c:pt idx="0">
                  <c:v>92</c:v>
                </c:pt>
                <c:pt idx="1">
                  <c:v>93</c:v>
                </c:pt>
                <c:pt idx="2">
                  <c:v>75</c:v>
                </c:pt>
                <c:pt idx="3">
                  <c:v>45</c:v>
                </c:pt>
              </c:numCache>
            </c:numRef>
          </c:val>
          <c:extLst>
            <c:ext xmlns:c16="http://schemas.microsoft.com/office/drawing/2014/chart" uri="{C3380CC4-5D6E-409C-BE32-E72D297353CC}">
              <c16:uniqueId val="{00000000-D6FE-4994-BA89-141519155960}"/>
            </c:ext>
          </c:extLst>
        </c:ser>
        <c:dLbls>
          <c:dLblPos val="outEnd"/>
          <c:showLegendKey val="0"/>
          <c:showVal val="1"/>
          <c:showCatName val="0"/>
          <c:showSerName val="0"/>
          <c:showPercent val="0"/>
          <c:showBubbleSize val="0"/>
        </c:dLbls>
        <c:gapWidth val="219"/>
        <c:overlap val="-27"/>
        <c:axId val="453625504"/>
        <c:axId val="453625984"/>
      </c:barChart>
      <c:catAx>
        <c:axId val="45362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25984"/>
        <c:crosses val="autoZero"/>
        <c:auto val="1"/>
        <c:lblAlgn val="ctr"/>
        <c:lblOffset val="100"/>
        <c:noMultiLvlLbl val="0"/>
      </c:catAx>
      <c:valAx>
        <c:axId val="45362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2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Pivot!$B$56</c:f>
              <c:strCache>
                <c:ptCount val="1"/>
                <c:pt idx="0">
                  <c:v>Total</c:v>
                </c:pt>
              </c:strCache>
            </c:strRef>
          </c:tx>
          <c:spPr>
            <a:solidFill>
              <a:schemeClr val="accent1"/>
            </a:solidFill>
            <a:ln>
              <a:noFill/>
            </a:ln>
            <a:effectLst/>
          </c:spPr>
          <c:invertIfNegative val="0"/>
          <c:cat>
            <c:strRef>
              <c:f>Pivot!$A$57:$A$362</c:f>
              <c:strCache>
                <c:ptCount val="305"/>
                <c:pt idx="0">
                  <c:v>Lake View Hospital 302</c:v>
                </c:pt>
                <c:pt idx="1">
                  <c:v>Harmony Grand Hotel 064</c:v>
                </c:pt>
                <c:pt idx="2">
                  <c:v>Harmony Residency 164</c:v>
                </c:pt>
                <c:pt idx="3">
                  <c:v>Harmony Heights 104</c:v>
                </c:pt>
                <c:pt idx="4">
                  <c:v>Harmony Apartments 094</c:v>
                </c:pt>
                <c:pt idx="5">
                  <c:v>Harmony Towers 194</c:v>
                </c:pt>
                <c:pt idx="6">
                  <c:v>Harmony Apartments 174</c:v>
                </c:pt>
                <c:pt idx="7">
                  <c:v>Harmony Grand Hotel 224</c:v>
                </c:pt>
                <c:pt idx="8">
                  <c:v>Harmony Apartments 254</c:v>
                </c:pt>
                <c:pt idx="9">
                  <c:v>Harmony Heights 264</c:v>
                </c:pt>
                <c:pt idx="10">
                  <c:v>Harmony Business Centre 054</c:v>
                </c:pt>
                <c:pt idx="11">
                  <c:v>Harmony Towers 034</c:v>
                </c:pt>
                <c:pt idx="12">
                  <c:v>Harmony Business Centre 134</c:v>
                </c:pt>
                <c:pt idx="13">
                  <c:v>Harmony Enclave 284</c:v>
                </c:pt>
                <c:pt idx="14">
                  <c:v>Harmony Business Centre 214</c:v>
                </c:pt>
                <c:pt idx="15">
                  <c:v>Harmony Grand Hotel 144</c:v>
                </c:pt>
                <c:pt idx="16">
                  <c:v>Harmony Business Centre 294</c:v>
                </c:pt>
                <c:pt idx="17">
                  <c:v>Harmony Heights 024</c:v>
                </c:pt>
                <c:pt idx="18">
                  <c:v>Harmony Care Hospital 074</c:v>
                </c:pt>
                <c:pt idx="19">
                  <c:v>Harmony Heights 184</c:v>
                </c:pt>
                <c:pt idx="20">
                  <c:v>Harmony Care Hospital 154</c:v>
                </c:pt>
                <c:pt idx="21">
                  <c:v>Harmony Residency 084</c:v>
                </c:pt>
                <c:pt idx="22">
                  <c:v>Harmony Care Hospital 234</c:v>
                </c:pt>
                <c:pt idx="23">
                  <c:v>Harmony Residency 244</c:v>
                </c:pt>
                <c:pt idx="24">
                  <c:v>Harmony Enclave 044</c:v>
                </c:pt>
                <c:pt idx="25">
                  <c:v>Harmony Towers 114</c:v>
                </c:pt>
                <c:pt idx="26">
                  <c:v>Harmony Enclave 124</c:v>
                </c:pt>
                <c:pt idx="27">
                  <c:v>Harmony Apartments 014</c:v>
                </c:pt>
                <c:pt idx="28">
                  <c:v>Harmony Towers 274</c:v>
                </c:pt>
                <c:pt idx="29">
                  <c:v>Harmony Enclave 204</c:v>
                </c:pt>
                <c:pt idx="30">
                  <c:v>Metro Business Park</c:v>
                </c:pt>
                <c:pt idx="31">
                  <c:v>Tech Park Tower 301</c:v>
                </c:pt>
                <c:pt idx="32">
                  <c:v>Sunrise Grand Hotel 066</c:v>
                </c:pt>
                <c:pt idx="33">
                  <c:v>Sunrise Residency 166</c:v>
                </c:pt>
                <c:pt idx="34">
                  <c:v>Sunrise Heights 106</c:v>
                </c:pt>
                <c:pt idx="35">
                  <c:v>Sunrise Apartments 096</c:v>
                </c:pt>
                <c:pt idx="36">
                  <c:v>Sunrise Towers 196</c:v>
                </c:pt>
                <c:pt idx="37">
                  <c:v>Sunrise Apartments 176</c:v>
                </c:pt>
                <c:pt idx="38">
                  <c:v>Sunrise Grand Hotel 226</c:v>
                </c:pt>
                <c:pt idx="39">
                  <c:v>Sunrise Apartments 256</c:v>
                </c:pt>
                <c:pt idx="40">
                  <c:v>Sunrise Heights 266</c:v>
                </c:pt>
                <c:pt idx="41">
                  <c:v>Sunrise Business Centre 056</c:v>
                </c:pt>
                <c:pt idx="42">
                  <c:v>Sunrise Towers 036</c:v>
                </c:pt>
                <c:pt idx="43">
                  <c:v>Sunrise Business Centre 136</c:v>
                </c:pt>
                <c:pt idx="44">
                  <c:v>City Centre Mall</c:v>
                </c:pt>
                <c:pt idx="45">
                  <c:v>Sunrise Business Centre 216</c:v>
                </c:pt>
                <c:pt idx="46">
                  <c:v>Sunrise Grand Hotel 146</c:v>
                </c:pt>
                <c:pt idx="47">
                  <c:v>Sunrise Business Centre 296</c:v>
                </c:pt>
                <c:pt idx="48">
                  <c:v>Sunrise Heights 026</c:v>
                </c:pt>
                <c:pt idx="49">
                  <c:v>Sunrise Care Hospital 076</c:v>
                </c:pt>
                <c:pt idx="50">
                  <c:v>Sunrise Heights 186</c:v>
                </c:pt>
                <c:pt idx="51">
                  <c:v>Sunrise Care Hospital 156</c:v>
                </c:pt>
                <c:pt idx="52">
                  <c:v>Sunrise Residency 086</c:v>
                </c:pt>
                <c:pt idx="53">
                  <c:v>Sunrise Care Hospital 236</c:v>
                </c:pt>
                <c:pt idx="54">
                  <c:v>Sunrise Residency 246</c:v>
                </c:pt>
                <c:pt idx="55">
                  <c:v>Sunrise Enclave 046</c:v>
                </c:pt>
                <c:pt idx="56">
                  <c:v>Sunrise Towers 116</c:v>
                </c:pt>
                <c:pt idx="57">
                  <c:v>Sunrise Enclave 126</c:v>
                </c:pt>
                <c:pt idx="58">
                  <c:v>Sunrise Apartments 016</c:v>
                </c:pt>
                <c:pt idx="59">
                  <c:v>Sunrise Towers 276</c:v>
                </c:pt>
                <c:pt idx="60">
                  <c:v>Sunrise Enclave 206</c:v>
                </c:pt>
                <c:pt idx="61">
                  <c:v>Sunrise Enclave 286</c:v>
                </c:pt>
                <c:pt idx="62">
                  <c:v>Metro Office Complex 305</c:v>
                </c:pt>
                <c:pt idx="63">
                  <c:v>Golden Gate Care Hospital 239</c:v>
                </c:pt>
                <c:pt idx="64">
                  <c:v>Golden Gate Heights 029</c:v>
                </c:pt>
                <c:pt idx="65">
                  <c:v>Golden Gate Enclave 289</c:v>
                </c:pt>
                <c:pt idx="66">
                  <c:v>Golden Gate Apartments 019</c:v>
                </c:pt>
                <c:pt idx="67">
                  <c:v>Golden Gate Residency 089</c:v>
                </c:pt>
                <c:pt idx="68">
                  <c:v>Golden Gate Apartments 099</c:v>
                </c:pt>
                <c:pt idx="69">
                  <c:v>Golden Gate Enclave 129</c:v>
                </c:pt>
                <c:pt idx="70">
                  <c:v>Golden Gate Towers 279</c:v>
                </c:pt>
                <c:pt idx="71">
                  <c:v>Golden Gate Grand Hotel 149</c:v>
                </c:pt>
                <c:pt idx="72">
                  <c:v>Tech Square Offices</c:v>
                </c:pt>
                <c:pt idx="73">
                  <c:v>Golden Gate Heights 189</c:v>
                </c:pt>
                <c:pt idx="74">
                  <c:v>Golden Gate Towers 199</c:v>
                </c:pt>
                <c:pt idx="75">
                  <c:v>Golden Gate Residency 249</c:v>
                </c:pt>
                <c:pt idx="76">
                  <c:v>Golden Gate Towers 039</c:v>
                </c:pt>
                <c:pt idx="77">
                  <c:v>Golden Gate Enclave 049</c:v>
                </c:pt>
                <c:pt idx="78">
                  <c:v>Golden Gate Apartments 179</c:v>
                </c:pt>
                <c:pt idx="79">
                  <c:v>Golden Gate Enclave 209</c:v>
                </c:pt>
                <c:pt idx="80">
                  <c:v>Golden Gate Apartments 259</c:v>
                </c:pt>
                <c:pt idx="81">
                  <c:v>Golden Gate Grand Hotel 069</c:v>
                </c:pt>
                <c:pt idx="82">
                  <c:v>Golden Gate Business Centre 059</c:v>
                </c:pt>
                <c:pt idx="83">
                  <c:v>Golden Gate Grand Hotel 229</c:v>
                </c:pt>
                <c:pt idx="84">
                  <c:v>Golden Gate Business Centre 139</c:v>
                </c:pt>
                <c:pt idx="85">
                  <c:v>Golden Gate Heights 109</c:v>
                </c:pt>
                <c:pt idx="86">
                  <c:v>Golden Gate Business Centre 219</c:v>
                </c:pt>
                <c:pt idx="87">
                  <c:v>Golden Gate Heights 269</c:v>
                </c:pt>
                <c:pt idx="88">
                  <c:v>Golden Gate Business Centre 299</c:v>
                </c:pt>
                <c:pt idx="89">
                  <c:v>Golden Gate Residency 169</c:v>
                </c:pt>
                <c:pt idx="90">
                  <c:v>Golden Gate Care Hospital 079</c:v>
                </c:pt>
                <c:pt idx="91">
                  <c:v>Golden Gate Care Hospital 159</c:v>
                </c:pt>
                <c:pt idx="92">
                  <c:v>Golden Gate Towers 119</c:v>
                </c:pt>
                <c:pt idx="93">
                  <c:v>Green Valley Hotel 303</c:v>
                </c:pt>
                <c:pt idx="94">
                  <c:v>Skyline Care Hospital 233</c:v>
                </c:pt>
                <c:pt idx="95">
                  <c:v>Skyline Heights 023</c:v>
                </c:pt>
                <c:pt idx="96">
                  <c:v>Skyline Enclave 283</c:v>
                </c:pt>
                <c:pt idx="97">
                  <c:v>Skyline Towers 033</c:v>
                </c:pt>
                <c:pt idx="98">
                  <c:v>Orchid Hospital</c:v>
                </c:pt>
                <c:pt idx="99">
                  <c:v>Skyline Towers 113</c:v>
                </c:pt>
                <c:pt idx="100">
                  <c:v>Skyline Enclave 123</c:v>
                </c:pt>
                <c:pt idx="101">
                  <c:v>Skyline Towers 193</c:v>
                </c:pt>
                <c:pt idx="102">
                  <c:v>Skyline Grand Hotel 143</c:v>
                </c:pt>
                <c:pt idx="103">
                  <c:v>Skyline Towers 273</c:v>
                </c:pt>
                <c:pt idx="104">
                  <c:v>Skyline Heights 183</c:v>
                </c:pt>
                <c:pt idx="105">
                  <c:v>Skyline Apartments 013</c:v>
                </c:pt>
                <c:pt idx="106">
                  <c:v>Skyline Care Hospital 153</c:v>
                </c:pt>
                <c:pt idx="107">
                  <c:v>Skyline Apartments 093</c:v>
                </c:pt>
                <c:pt idx="108">
                  <c:v>Skyline Enclave 043</c:v>
                </c:pt>
                <c:pt idx="109">
                  <c:v>Skyline Apartments 173</c:v>
                </c:pt>
                <c:pt idx="110">
                  <c:v>Skyline Enclave 203</c:v>
                </c:pt>
                <c:pt idx="111">
                  <c:v>Skyline Apartments 253</c:v>
                </c:pt>
                <c:pt idx="112">
                  <c:v>Skyline Grand Hotel 063</c:v>
                </c:pt>
                <c:pt idx="113">
                  <c:v>Skyline Business Centre 053</c:v>
                </c:pt>
                <c:pt idx="114">
                  <c:v>Skyline Grand Hotel 223</c:v>
                </c:pt>
                <c:pt idx="115">
                  <c:v>Skyline Business Centre 133</c:v>
                </c:pt>
                <c:pt idx="116">
                  <c:v>Skyline Heights 103</c:v>
                </c:pt>
                <c:pt idx="117">
                  <c:v>Skyline Business Centre 213</c:v>
                </c:pt>
                <c:pt idx="118">
                  <c:v>Skyline Heights 263</c:v>
                </c:pt>
                <c:pt idx="119">
                  <c:v>Skyline Business Centre 293</c:v>
                </c:pt>
                <c:pt idx="120">
                  <c:v>Skyline Residency 243</c:v>
                </c:pt>
                <c:pt idx="121">
                  <c:v>Skyline Residency 163</c:v>
                </c:pt>
                <c:pt idx="122">
                  <c:v>Skyline Residency 083</c:v>
                </c:pt>
                <c:pt idx="123">
                  <c:v>Skyline Care Hospital 073</c:v>
                </c:pt>
                <c:pt idx="124">
                  <c:v>Lakeside Grand Hotel 065</c:v>
                </c:pt>
                <c:pt idx="125">
                  <c:v>Lakeside Residency 165</c:v>
                </c:pt>
                <c:pt idx="126">
                  <c:v>Lakeside Heights 105</c:v>
                </c:pt>
                <c:pt idx="127">
                  <c:v>Lakeside Apartments 175</c:v>
                </c:pt>
                <c:pt idx="128">
                  <c:v>Lakeside Towers 195</c:v>
                </c:pt>
                <c:pt idx="129">
                  <c:v>Lakeside Apartments 255</c:v>
                </c:pt>
                <c:pt idx="130">
                  <c:v>Lakeside Grand Hotel 225</c:v>
                </c:pt>
                <c:pt idx="131">
                  <c:v>Grand Palace Hotel</c:v>
                </c:pt>
                <c:pt idx="132">
                  <c:v>Lakeside Heights 265</c:v>
                </c:pt>
                <c:pt idx="133">
                  <c:v>Lakeside Business Centre 055</c:v>
                </c:pt>
                <c:pt idx="134">
                  <c:v>Lakeside Towers 035</c:v>
                </c:pt>
                <c:pt idx="135">
                  <c:v>Lakeside Business Centre 135</c:v>
                </c:pt>
                <c:pt idx="136">
                  <c:v>Lakeside Apartments 015</c:v>
                </c:pt>
                <c:pt idx="137">
                  <c:v>Lakeside Business Centre 215</c:v>
                </c:pt>
                <c:pt idx="138">
                  <c:v>Lakeside Grand Hotel 145</c:v>
                </c:pt>
                <c:pt idx="139">
                  <c:v>Lakeside Business Centre 295</c:v>
                </c:pt>
                <c:pt idx="140">
                  <c:v>Lakeside Heights 025</c:v>
                </c:pt>
                <c:pt idx="141">
                  <c:v>Lakeside Care Hospital 075</c:v>
                </c:pt>
                <c:pt idx="142">
                  <c:v>Lakeside Heights 185</c:v>
                </c:pt>
                <c:pt idx="143">
                  <c:v>Lakeside Care Hospital 155</c:v>
                </c:pt>
                <c:pt idx="144">
                  <c:v>Lakeside Residency 085</c:v>
                </c:pt>
                <c:pt idx="145">
                  <c:v>Lakeside Care Hospital 235</c:v>
                </c:pt>
                <c:pt idx="146">
                  <c:v>Lakeside Residency 245</c:v>
                </c:pt>
                <c:pt idx="147">
                  <c:v>Lakeside Enclave 045</c:v>
                </c:pt>
                <c:pt idx="148">
                  <c:v>Lakeside Towers 115</c:v>
                </c:pt>
                <c:pt idx="149">
                  <c:v>Lakeside Enclave 125</c:v>
                </c:pt>
                <c:pt idx="150">
                  <c:v>Lakeside Towers 275</c:v>
                </c:pt>
                <c:pt idx="151">
                  <c:v>Lakeside Enclave 205</c:v>
                </c:pt>
                <c:pt idx="152">
                  <c:v>Lakeside Apartments 095</c:v>
                </c:pt>
                <c:pt idx="153">
                  <c:v>Lakeside Enclave 285</c:v>
                </c:pt>
                <c:pt idx="154">
                  <c:v>Sunrise Apartments 304</c:v>
                </c:pt>
                <c:pt idx="155">
                  <c:v>Emerald Apartments 260</c:v>
                </c:pt>
                <c:pt idx="156">
                  <c:v>Emerald Enclave 050</c:v>
                </c:pt>
                <c:pt idx="157">
                  <c:v>Emerald Business Centre 300</c:v>
                </c:pt>
                <c:pt idx="158">
                  <c:v>Emerald Grand Hotel 070</c:v>
                </c:pt>
                <c:pt idx="159">
                  <c:v>Emerald Enclave 210</c:v>
                </c:pt>
                <c:pt idx="160">
                  <c:v>Emerald Grand Hotel 150</c:v>
                </c:pt>
                <c:pt idx="161">
                  <c:v>Emerald Business Centre 140</c:v>
                </c:pt>
                <c:pt idx="162">
                  <c:v>Emerald Grand Hotel 230</c:v>
                </c:pt>
                <c:pt idx="163">
                  <c:v>Emerald Care Hospital 160</c:v>
                </c:pt>
                <c:pt idx="164">
                  <c:v>Emerald Heights 030</c:v>
                </c:pt>
                <c:pt idx="165">
                  <c:v>Emerald Apartments 100</c:v>
                </c:pt>
                <c:pt idx="166">
                  <c:v>Emerald Heights 110</c:v>
                </c:pt>
                <c:pt idx="167">
                  <c:v>Emerald Towers 280</c:v>
                </c:pt>
                <c:pt idx="168">
                  <c:v>Emerald Heights 190</c:v>
                </c:pt>
                <c:pt idx="169">
                  <c:v>Emerald Business Centre 060</c:v>
                </c:pt>
                <c:pt idx="170">
                  <c:v>Emerald Heights 270</c:v>
                </c:pt>
                <c:pt idx="171">
                  <c:v>Emerald Business Centre 220</c:v>
                </c:pt>
                <c:pt idx="172">
                  <c:v>Emerald Residency 090</c:v>
                </c:pt>
                <c:pt idx="173">
                  <c:v>Emerald Care Hospital 080</c:v>
                </c:pt>
                <c:pt idx="174">
                  <c:v>Emerald Residency 170</c:v>
                </c:pt>
                <c:pt idx="175">
                  <c:v>Emerald Care Hospital 240</c:v>
                </c:pt>
                <c:pt idx="176">
                  <c:v>Emerald Residency 250</c:v>
                </c:pt>
                <c:pt idx="177">
                  <c:v>Emerald Enclave 130</c:v>
                </c:pt>
                <c:pt idx="178">
                  <c:v>Emerald Towers 040</c:v>
                </c:pt>
                <c:pt idx="179">
                  <c:v>Sunrise Towers</c:v>
                </c:pt>
                <c:pt idx="180">
                  <c:v>Emerald Towers 120</c:v>
                </c:pt>
                <c:pt idx="181">
                  <c:v>Emerald Enclave 290</c:v>
                </c:pt>
                <c:pt idx="182">
                  <c:v>Emerald Towers 200</c:v>
                </c:pt>
                <c:pt idx="183">
                  <c:v>Emerald Apartments 180</c:v>
                </c:pt>
                <c:pt idx="184">
                  <c:v>Emerald Apartments 020</c:v>
                </c:pt>
                <c:pt idx="185">
                  <c:v>Silver Oak Heights 267</c:v>
                </c:pt>
                <c:pt idx="186">
                  <c:v>Silver Oak Apartments 177</c:v>
                </c:pt>
                <c:pt idx="187">
                  <c:v>Silver Oak Towers 037</c:v>
                </c:pt>
                <c:pt idx="188">
                  <c:v>Silver Oak Business Centre 297</c:v>
                </c:pt>
                <c:pt idx="189">
                  <c:v>Silver Oak Business Centre 217</c:v>
                </c:pt>
                <c:pt idx="190">
                  <c:v>Silver Oak Care Hospital 077</c:v>
                </c:pt>
                <c:pt idx="191">
                  <c:v>Silver Oak Residency 167</c:v>
                </c:pt>
                <c:pt idx="192">
                  <c:v>Silver Oak Care Hospital 157</c:v>
                </c:pt>
                <c:pt idx="193">
                  <c:v>Silver Oak Towers 197</c:v>
                </c:pt>
                <c:pt idx="194">
                  <c:v>Silver Oak Care Hospital 237</c:v>
                </c:pt>
                <c:pt idx="195">
                  <c:v>Silver Oak Business Centre 057</c:v>
                </c:pt>
                <c:pt idx="196">
                  <c:v>Silver Oak Enclave 047</c:v>
                </c:pt>
                <c:pt idx="197">
                  <c:v>Silver Oak Heights 187</c:v>
                </c:pt>
                <c:pt idx="198">
                  <c:v>Harmony Heights</c:v>
                </c:pt>
                <c:pt idx="199">
                  <c:v>Silver Oak Residency 087</c:v>
                </c:pt>
                <c:pt idx="200">
                  <c:v>Silver Oak Apartments 097</c:v>
                </c:pt>
                <c:pt idx="201">
                  <c:v>Silver Oak Residency 247</c:v>
                </c:pt>
                <c:pt idx="202">
                  <c:v>Silver Oak Enclave 287</c:v>
                </c:pt>
                <c:pt idx="203">
                  <c:v>Silver Oak Towers 117</c:v>
                </c:pt>
                <c:pt idx="204">
                  <c:v>Silver Oak Grand Hotel 067</c:v>
                </c:pt>
                <c:pt idx="205">
                  <c:v>Silver Oak Towers 277</c:v>
                </c:pt>
                <c:pt idx="206">
                  <c:v>Silver Oak Grand Hotel 147</c:v>
                </c:pt>
                <c:pt idx="207">
                  <c:v>Silver Oak Apartments 257</c:v>
                </c:pt>
                <c:pt idx="208">
                  <c:v>Silver Oak Grand Hotel 227</c:v>
                </c:pt>
                <c:pt idx="209">
                  <c:v>Silver Oak Business Centre 137</c:v>
                </c:pt>
                <c:pt idx="210">
                  <c:v>Silver Oak Heights 027</c:v>
                </c:pt>
                <c:pt idx="211">
                  <c:v>Silver Oak Heights 107</c:v>
                </c:pt>
                <c:pt idx="212">
                  <c:v>Silver Oak Enclave 127</c:v>
                </c:pt>
                <c:pt idx="213">
                  <c:v>Silver Oak Enclave 207</c:v>
                </c:pt>
                <c:pt idx="214">
                  <c:v>Silver Oak Apartments 017</c:v>
                </c:pt>
                <c:pt idx="215">
                  <c:v>Royal Palm Residency 082</c:v>
                </c:pt>
                <c:pt idx="216">
                  <c:v>Royal Palm Apartments 172</c:v>
                </c:pt>
                <c:pt idx="217">
                  <c:v>Royal Palm Towers 112</c:v>
                </c:pt>
                <c:pt idx="218">
                  <c:v>Royal Palm Care Hospital 072</c:v>
                </c:pt>
                <c:pt idx="219">
                  <c:v>Royal Palm Business Centre 132</c:v>
                </c:pt>
                <c:pt idx="220">
                  <c:v>Royal Palm Care Hospital 152</c:v>
                </c:pt>
                <c:pt idx="221">
                  <c:v>Royal Palm Residency 242</c:v>
                </c:pt>
                <c:pt idx="222">
                  <c:v>Royal Palm Care Hospital 232</c:v>
                </c:pt>
                <c:pt idx="223">
                  <c:v>Royal Palm Towers 272</c:v>
                </c:pt>
                <c:pt idx="224">
                  <c:v>Royal Palm Enclave 042</c:v>
                </c:pt>
                <c:pt idx="225">
                  <c:v>Green Valley Apartments</c:v>
                </c:pt>
                <c:pt idx="226">
                  <c:v>Royal Palm Enclave 122</c:v>
                </c:pt>
                <c:pt idx="227">
                  <c:v>Royal Palm Business Centre 292</c:v>
                </c:pt>
                <c:pt idx="228">
                  <c:v>Royal Palm Enclave 202</c:v>
                </c:pt>
                <c:pt idx="229">
                  <c:v>Royal Palm Residency 162</c:v>
                </c:pt>
                <c:pt idx="230">
                  <c:v>Royal Palm Enclave 282</c:v>
                </c:pt>
                <c:pt idx="231">
                  <c:v>Royal Palm Towers 032</c:v>
                </c:pt>
                <c:pt idx="232">
                  <c:v>Royal Palm Apartments 012</c:v>
                </c:pt>
                <c:pt idx="233">
                  <c:v>Royal Palm Towers 192</c:v>
                </c:pt>
                <c:pt idx="234">
                  <c:v>Royal Palm Grand Hotel 142</c:v>
                </c:pt>
                <c:pt idx="235">
                  <c:v>Royal Palm Apartments 092</c:v>
                </c:pt>
                <c:pt idx="236">
                  <c:v>Royal Palm Grand Hotel 222</c:v>
                </c:pt>
                <c:pt idx="237">
                  <c:v>Royal Palm Apartments 252</c:v>
                </c:pt>
                <c:pt idx="238">
                  <c:v>Royal Palm Heights 022</c:v>
                </c:pt>
                <c:pt idx="239">
                  <c:v>Royal Palm Business Centre 052</c:v>
                </c:pt>
                <c:pt idx="240">
                  <c:v>Royal Palm Heights 102</c:v>
                </c:pt>
                <c:pt idx="241">
                  <c:v>Royal Palm Business Centre 212</c:v>
                </c:pt>
                <c:pt idx="242">
                  <c:v>Royal Palm Heights 182</c:v>
                </c:pt>
                <c:pt idx="243">
                  <c:v>Royal Palm Heights 262</c:v>
                </c:pt>
                <c:pt idx="244">
                  <c:v>Royal Palm Grand Hotel 062</c:v>
                </c:pt>
                <c:pt idx="245">
                  <c:v>River View Towers 038</c:v>
                </c:pt>
                <c:pt idx="246">
                  <c:v>River View Business Centre 218</c:v>
                </c:pt>
                <c:pt idx="247">
                  <c:v>River View Apartments 178</c:v>
                </c:pt>
                <c:pt idx="248">
                  <c:v>River View Enclave 128</c:v>
                </c:pt>
                <c:pt idx="249">
                  <c:v>River View Care Hospital 238</c:v>
                </c:pt>
                <c:pt idx="250">
                  <c:v>River View Enclave 208</c:v>
                </c:pt>
                <c:pt idx="251">
                  <c:v>River View Towers 198</c:v>
                </c:pt>
                <c:pt idx="252">
                  <c:v>River View Apartments 018</c:v>
                </c:pt>
                <c:pt idx="253">
                  <c:v>River View Business Centre 058</c:v>
                </c:pt>
                <c:pt idx="254">
                  <c:v>River View Grand Hotel 068</c:v>
                </c:pt>
                <c:pt idx="255">
                  <c:v>River View Care Hospital 078</c:v>
                </c:pt>
                <c:pt idx="256">
                  <c:v>River View Grand Hotel 148</c:v>
                </c:pt>
                <c:pt idx="257">
                  <c:v>River View Residency 248</c:v>
                </c:pt>
                <c:pt idx="258">
                  <c:v>River View Grand Hotel 228</c:v>
                </c:pt>
                <c:pt idx="259">
                  <c:v>River View Towers 118</c:v>
                </c:pt>
                <c:pt idx="260">
                  <c:v>River View Heights 028</c:v>
                </c:pt>
                <c:pt idx="261">
                  <c:v>River View Towers 278</c:v>
                </c:pt>
                <c:pt idx="262">
                  <c:v>River View Heights 108</c:v>
                </c:pt>
                <c:pt idx="263">
                  <c:v>River View Apartments 258</c:v>
                </c:pt>
                <c:pt idx="264">
                  <c:v>River View Heights 188</c:v>
                </c:pt>
                <c:pt idx="265">
                  <c:v>River View Business Centre 138</c:v>
                </c:pt>
                <c:pt idx="266">
                  <c:v>River View Heights 268</c:v>
                </c:pt>
                <c:pt idx="267">
                  <c:v>River View Business Centre 298</c:v>
                </c:pt>
                <c:pt idx="268">
                  <c:v>River View Residency</c:v>
                </c:pt>
                <c:pt idx="269">
                  <c:v>River View Care Hospital 158</c:v>
                </c:pt>
                <c:pt idx="270">
                  <c:v>River View Residency 088</c:v>
                </c:pt>
                <c:pt idx="271">
                  <c:v>River View Enclave 048</c:v>
                </c:pt>
                <c:pt idx="272">
                  <c:v>River View Residency 168</c:v>
                </c:pt>
                <c:pt idx="273">
                  <c:v>River View Enclave 288</c:v>
                </c:pt>
                <c:pt idx="274">
                  <c:v>River View Apartments 098</c:v>
                </c:pt>
                <c:pt idx="275">
                  <c:v>Green Valley Towers 031</c:v>
                </c:pt>
                <c:pt idx="276">
                  <c:v>Green Valley Apartments 251</c:v>
                </c:pt>
                <c:pt idx="277">
                  <c:v>Green Valley Towers 271</c:v>
                </c:pt>
                <c:pt idx="278">
                  <c:v>Green Valley Enclave 041</c:v>
                </c:pt>
                <c:pt idx="279">
                  <c:v>Green Valley Business Centre 291</c:v>
                </c:pt>
                <c:pt idx="280">
                  <c:v>Green Valley Enclave 121</c:v>
                </c:pt>
                <c:pt idx="281">
                  <c:v>Green Valley Towers 111</c:v>
                </c:pt>
                <c:pt idx="282">
                  <c:v>Green Valley Enclave 201</c:v>
                </c:pt>
                <c:pt idx="283">
                  <c:v>Green Valley Apartments 091</c:v>
                </c:pt>
                <c:pt idx="284">
                  <c:v>Green Valley Enclave 281</c:v>
                </c:pt>
                <c:pt idx="285">
                  <c:v>Green Valley Business Centre 131</c:v>
                </c:pt>
                <c:pt idx="286">
                  <c:v>Green Valley Grand Hotel 061</c:v>
                </c:pt>
                <c:pt idx="287">
                  <c:v>Green Valley Care Hospital 151</c:v>
                </c:pt>
                <c:pt idx="288">
                  <c:v>Green Valley Grand Hotel 141</c:v>
                </c:pt>
                <c:pt idx="289">
                  <c:v>Skyline Residency</c:v>
                </c:pt>
                <c:pt idx="290">
                  <c:v>Green Valley Grand Hotel 221</c:v>
                </c:pt>
                <c:pt idx="291">
                  <c:v>Green Valley Towers 191</c:v>
                </c:pt>
                <c:pt idx="292">
                  <c:v>Green Valley Heights 021</c:v>
                </c:pt>
                <c:pt idx="293">
                  <c:v>Green Valley Apartments 011</c:v>
                </c:pt>
                <c:pt idx="294">
                  <c:v>Green Valley Heights 101</c:v>
                </c:pt>
                <c:pt idx="295">
                  <c:v>Green Valley Apartments 171</c:v>
                </c:pt>
                <c:pt idx="296">
                  <c:v>Green Valley Heights 181</c:v>
                </c:pt>
                <c:pt idx="297">
                  <c:v>Green Valley Business Centre 051</c:v>
                </c:pt>
                <c:pt idx="298">
                  <c:v>Green Valley Heights 261</c:v>
                </c:pt>
                <c:pt idx="299">
                  <c:v>Green Valley Business Centre 211</c:v>
                </c:pt>
                <c:pt idx="300">
                  <c:v>Green Valley Residency 081</c:v>
                </c:pt>
                <c:pt idx="301">
                  <c:v>Green Valley Care Hospital 071</c:v>
                </c:pt>
                <c:pt idx="302">
                  <c:v>Green Valley Residency 161</c:v>
                </c:pt>
                <c:pt idx="303">
                  <c:v>Green Valley Care Hospital 231</c:v>
                </c:pt>
                <c:pt idx="304">
                  <c:v>Green Valley Residency 241</c:v>
                </c:pt>
              </c:strCache>
            </c:strRef>
          </c:cat>
          <c:val>
            <c:numRef>
              <c:f>Pivot!$B$57:$B$362</c:f>
              <c:numCache>
                <c:formatCode>"₹"#,##0</c:formatCode>
                <c:ptCount val="305"/>
                <c:pt idx="0">
                  <c:v>72</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c:v>65</c:v>
                </c:pt>
                <c:pt idx="31">
                  <c:v>60</c:v>
                </c:pt>
                <c:pt idx="32">
                  <c:v>55</c:v>
                </c:pt>
                <c:pt idx="33">
                  <c:v>55</c:v>
                </c:pt>
                <c:pt idx="34">
                  <c:v>55</c:v>
                </c:pt>
                <c:pt idx="35">
                  <c:v>55</c:v>
                </c:pt>
                <c:pt idx="36">
                  <c:v>55</c:v>
                </c:pt>
                <c:pt idx="37">
                  <c:v>55</c:v>
                </c:pt>
                <c:pt idx="38">
                  <c:v>55</c:v>
                </c:pt>
                <c:pt idx="39">
                  <c:v>55</c:v>
                </c:pt>
                <c:pt idx="40">
                  <c:v>55</c:v>
                </c:pt>
                <c:pt idx="41">
                  <c:v>55</c:v>
                </c:pt>
                <c:pt idx="42">
                  <c:v>55</c:v>
                </c:pt>
                <c:pt idx="43">
                  <c:v>55</c:v>
                </c:pt>
                <c:pt idx="44">
                  <c:v>55</c:v>
                </c:pt>
                <c:pt idx="45">
                  <c:v>55</c:v>
                </c:pt>
                <c:pt idx="46">
                  <c:v>55</c:v>
                </c:pt>
                <c:pt idx="47">
                  <c:v>55</c:v>
                </c:pt>
                <c:pt idx="48">
                  <c:v>55</c:v>
                </c:pt>
                <c:pt idx="49">
                  <c:v>55</c:v>
                </c:pt>
                <c:pt idx="50">
                  <c:v>55</c:v>
                </c:pt>
                <c:pt idx="51">
                  <c:v>55</c:v>
                </c:pt>
                <c:pt idx="52">
                  <c:v>55</c:v>
                </c:pt>
                <c:pt idx="53">
                  <c:v>55</c:v>
                </c:pt>
                <c:pt idx="54">
                  <c:v>55</c:v>
                </c:pt>
                <c:pt idx="55">
                  <c:v>55</c:v>
                </c:pt>
                <c:pt idx="56">
                  <c:v>55</c:v>
                </c:pt>
                <c:pt idx="57">
                  <c:v>55</c:v>
                </c:pt>
                <c:pt idx="58">
                  <c:v>55</c:v>
                </c:pt>
                <c:pt idx="59">
                  <c:v>55</c:v>
                </c:pt>
                <c:pt idx="60">
                  <c:v>55</c:v>
                </c:pt>
                <c:pt idx="61">
                  <c:v>55</c:v>
                </c:pt>
                <c:pt idx="62">
                  <c:v>55</c:v>
                </c:pt>
                <c:pt idx="63">
                  <c:v>48</c:v>
                </c:pt>
                <c:pt idx="64">
                  <c:v>48</c:v>
                </c:pt>
                <c:pt idx="65">
                  <c:v>48</c:v>
                </c:pt>
                <c:pt idx="66">
                  <c:v>48</c:v>
                </c:pt>
                <c:pt idx="67">
                  <c:v>48</c:v>
                </c:pt>
                <c:pt idx="68">
                  <c:v>48</c:v>
                </c:pt>
                <c:pt idx="69">
                  <c:v>48</c:v>
                </c:pt>
                <c:pt idx="70">
                  <c:v>48</c:v>
                </c:pt>
                <c:pt idx="71">
                  <c:v>48</c:v>
                </c:pt>
                <c:pt idx="72">
                  <c:v>48</c:v>
                </c:pt>
                <c:pt idx="73">
                  <c:v>48</c:v>
                </c:pt>
                <c:pt idx="74">
                  <c:v>48</c:v>
                </c:pt>
                <c:pt idx="75">
                  <c:v>48</c:v>
                </c:pt>
                <c:pt idx="76">
                  <c:v>48</c:v>
                </c:pt>
                <c:pt idx="77">
                  <c:v>48</c:v>
                </c:pt>
                <c:pt idx="78">
                  <c:v>48</c:v>
                </c:pt>
                <c:pt idx="79">
                  <c:v>48</c:v>
                </c:pt>
                <c:pt idx="80">
                  <c:v>48</c:v>
                </c:pt>
                <c:pt idx="81">
                  <c:v>48</c:v>
                </c:pt>
                <c:pt idx="82">
                  <c:v>48</c:v>
                </c:pt>
                <c:pt idx="83">
                  <c:v>48</c:v>
                </c:pt>
                <c:pt idx="84">
                  <c:v>48</c:v>
                </c:pt>
                <c:pt idx="85">
                  <c:v>48</c:v>
                </c:pt>
                <c:pt idx="86">
                  <c:v>48</c:v>
                </c:pt>
                <c:pt idx="87">
                  <c:v>48</c:v>
                </c:pt>
                <c:pt idx="88">
                  <c:v>48</c:v>
                </c:pt>
                <c:pt idx="89">
                  <c:v>48</c:v>
                </c:pt>
                <c:pt idx="90">
                  <c:v>48</c:v>
                </c:pt>
                <c:pt idx="91">
                  <c:v>48</c:v>
                </c:pt>
                <c:pt idx="92">
                  <c:v>48</c:v>
                </c:pt>
                <c:pt idx="93">
                  <c:v>45</c:v>
                </c:pt>
                <c:pt idx="94">
                  <c:v>42</c:v>
                </c:pt>
                <c:pt idx="95">
                  <c:v>42</c:v>
                </c:pt>
                <c:pt idx="96">
                  <c:v>42</c:v>
                </c:pt>
                <c:pt idx="97">
                  <c:v>42</c:v>
                </c:pt>
                <c:pt idx="98">
                  <c:v>42</c:v>
                </c:pt>
                <c:pt idx="99">
                  <c:v>42</c:v>
                </c:pt>
                <c:pt idx="100">
                  <c:v>42</c:v>
                </c:pt>
                <c:pt idx="101">
                  <c:v>42</c:v>
                </c:pt>
                <c:pt idx="102">
                  <c:v>42</c:v>
                </c:pt>
                <c:pt idx="103">
                  <c:v>42</c:v>
                </c:pt>
                <c:pt idx="104">
                  <c:v>42</c:v>
                </c:pt>
                <c:pt idx="105">
                  <c:v>42</c:v>
                </c:pt>
                <c:pt idx="106">
                  <c:v>42</c:v>
                </c:pt>
                <c:pt idx="107">
                  <c:v>42</c:v>
                </c:pt>
                <c:pt idx="108">
                  <c:v>42</c:v>
                </c:pt>
                <c:pt idx="109">
                  <c:v>42</c:v>
                </c:pt>
                <c:pt idx="110">
                  <c:v>42</c:v>
                </c:pt>
                <c:pt idx="111">
                  <c:v>42</c:v>
                </c:pt>
                <c:pt idx="112">
                  <c:v>42</c:v>
                </c:pt>
                <c:pt idx="113">
                  <c:v>42</c:v>
                </c:pt>
                <c:pt idx="114">
                  <c:v>42</c:v>
                </c:pt>
                <c:pt idx="115">
                  <c:v>42</c:v>
                </c:pt>
                <c:pt idx="116">
                  <c:v>42</c:v>
                </c:pt>
                <c:pt idx="117">
                  <c:v>42</c:v>
                </c:pt>
                <c:pt idx="118">
                  <c:v>42</c:v>
                </c:pt>
                <c:pt idx="119">
                  <c:v>42</c:v>
                </c:pt>
                <c:pt idx="120">
                  <c:v>42</c:v>
                </c:pt>
                <c:pt idx="121">
                  <c:v>42</c:v>
                </c:pt>
                <c:pt idx="122">
                  <c:v>42</c:v>
                </c:pt>
                <c:pt idx="123">
                  <c:v>42</c:v>
                </c:pt>
                <c:pt idx="124">
                  <c:v>38</c:v>
                </c:pt>
                <c:pt idx="125">
                  <c:v>38</c:v>
                </c:pt>
                <c:pt idx="126">
                  <c:v>38</c:v>
                </c:pt>
                <c:pt idx="127">
                  <c:v>38</c:v>
                </c:pt>
                <c:pt idx="128">
                  <c:v>38</c:v>
                </c:pt>
                <c:pt idx="129">
                  <c:v>38</c:v>
                </c:pt>
                <c:pt idx="130">
                  <c:v>38</c:v>
                </c:pt>
                <c:pt idx="131">
                  <c:v>38</c:v>
                </c:pt>
                <c:pt idx="132">
                  <c:v>38</c:v>
                </c:pt>
                <c:pt idx="133">
                  <c:v>38</c:v>
                </c:pt>
                <c:pt idx="134">
                  <c:v>38</c:v>
                </c:pt>
                <c:pt idx="135">
                  <c:v>38</c:v>
                </c:pt>
                <c:pt idx="136">
                  <c:v>38</c:v>
                </c:pt>
                <c:pt idx="137">
                  <c:v>38</c:v>
                </c:pt>
                <c:pt idx="138">
                  <c:v>38</c:v>
                </c:pt>
                <c:pt idx="139">
                  <c:v>38</c:v>
                </c:pt>
                <c:pt idx="140">
                  <c:v>38</c:v>
                </c:pt>
                <c:pt idx="141">
                  <c:v>38</c:v>
                </c:pt>
                <c:pt idx="142">
                  <c:v>38</c:v>
                </c:pt>
                <c:pt idx="143">
                  <c:v>38</c:v>
                </c:pt>
                <c:pt idx="144">
                  <c:v>38</c:v>
                </c:pt>
                <c:pt idx="145">
                  <c:v>38</c:v>
                </c:pt>
                <c:pt idx="146">
                  <c:v>38</c:v>
                </c:pt>
                <c:pt idx="147">
                  <c:v>38</c:v>
                </c:pt>
                <c:pt idx="148">
                  <c:v>38</c:v>
                </c:pt>
                <c:pt idx="149">
                  <c:v>38</c:v>
                </c:pt>
                <c:pt idx="150">
                  <c:v>38</c:v>
                </c:pt>
                <c:pt idx="151">
                  <c:v>38</c:v>
                </c:pt>
                <c:pt idx="152">
                  <c:v>38</c:v>
                </c:pt>
                <c:pt idx="153">
                  <c:v>38</c:v>
                </c:pt>
                <c:pt idx="154">
                  <c:v>38</c:v>
                </c:pt>
                <c:pt idx="155">
                  <c:v>32</c:v>
                </c:pt>
                <c:pt idx="156">
                  <c:v>32</c:v>
                </c:pt>
                <c:pt idx="157">
                  <c:v>32</c:v>
                </c:pt>
                <c:pt idx="158">
                  <c:v>32</c:v>
                </c:pt>
                <c:pt idx="159">
                  <c:v>32</c:v>
                </c:pt>
                <c:pt idx="160">
                  <c:v>32</c:v>
                </c:pt>
                <c:pt idx="161">
                  <c:v>32</c:v>
                </c:pt>
                <c:pt idx="162">
                  <c:v>32</c:v>
                </c:pt>
                <c:pt idx="163">
                  <c:v>32</c:v>
                </c:pt>
                <c:pt idx="164">
                  <c:v>32</c:v>
                </c:pt>
                <c:pt idx="165">
                  <c:v>32</c:v>
                </c:pt>
                <c:pt idx="166">
                  <c:v>32</c:v>
                </c:pt>
                <c:pt idx="167">
                  <c:v>32</c:v>
                </c:pt>
                <c:pt idx="168">
                  <c:v>32</c:v>
                </c:pt>
                <c:pt idx="169">
                  <c:v>32</c:v>
                </c:pt>
                <c:pt idx="170">
                  <c:v>32</c:v>
                </c:pt>
                <c:pt idx="171">
                  <c:v>32</c:v>
                </c:pt>
                <c:pt idx="172">
                  <c:v>32</c:v>
                </c:pt>
                <c:pt idx="173">
                  <c:v>32</c:v>
                </c:pt>
                <c:pt idx="174">
                  <c:v>32</c:v>
                </c:pt>
                <c:pt idx="175">
                  <c:v>32</c:v>
                </c:pt>
                <c:pt idx="176">
                  <c:v>32</c:v>
                </c:pt>
                <c:pt idx="177">
                  <c:v>32</c:v>
                </c:pt>
                <c:pt idx="178">
                  <c:v>32</c:v>
                </c:pt>
                <c:pt idx="179">
                  <c:v>32</c:v>
                </c:pt>
                <c:pt idx="180">
                  <c:v>32</c:v>
                </c:pt>
                <c:pt idx="181">
                  <c:v>32</c:v>
                </c:pt>
                <c:pt idx="182">
                  <c:v>32</c:v>
                </c:pt>
                <c:pt idx="183">
                  <c:v>32</c:v>
                </c:pt>
                <c:pt idx="184">
                  <c:v>32</c:v>
                </c:pt>
                <c:pt idx="185">
                  <c:v>27</c:v>
                </c:pt>
                <c:pt idx="186">
                  <c:v>27</c:v>
                </c:pt>
                <c:pt idx="187">
                  <c:v>27</c:v>
                </c:pt>
                <c:pt idx="188">
                  <c:v>27</c:v>
                </c:pt>
                <c:pt idx="189">
                  <c:v>27</c:v>
                </c:pt>
                <c:pt idx="190">
                  <c:v>27</c:v>
                </c:pt>
                <c:pt idx="191">
                  <c:v>27</c:v>
                </c:pt>
                <c:pt idx="192">
                  <c:v>27</c:v>
                </c:pt>
                <c:pt idx="193">
                  <c:v>27</c:v>
                </c:pt>
                <c:pt idx="194">
                  <c:v>27</c:v>
                </c:pt>
                <c:pt idx="195">
                  <c:v>27</c:v>
                </c:pt>
                <c:pt idx="196">
                  <c:v>27</c:v>
                </c:pt>
                <c:pt idx="197">
                  <c:v>27</c:v>
                </c:pt>
                <c:pt idx="198">
                  <c:v>27</c:v>
                </c:pt>
                <c:pt idx="199">
                  <c:v>27</c:v>
                </c:pt>
                <c:pt idx="200">
                  <c:v>27</c:v>
                </c:pt>
                <c:pt idx="201">
                  <c:v>27</c:v>
                </c:pt>
                <c:pt idx="202">
                  <c:v>27</c:v>
                </c:pt>
                <c:pt idx="203">
                  <c:v>27</c:v>
                </c:pt>
                <c:pt idx="204">
                  <c:v>27</c:v>
                </c:pt>
                <c:pt idx="205">
                  <c:v>27</c:v>
                </c:pt>
                <c:pt idx="206">
                  <c:v>27</c:v>
                </c:pt>
                <c:pt idx="207">
                  <c:v>27</c:v>
                </c:pt>
                <c:pt idx="208">
                  <c:v>27</c:v>
                </c:pt>
                <c:pt idx="209">
                  <c:v>27</c:v>
                </c:pt>
                <c:pt idx="210">
                  <c:v>27</c:v>
                </c:pt>
                <c:pt idx="211">
                  <c:v>27</c:v>
                </c:pt>
                <c:pt idx="212">
                  <c:v>27</c:v>
                </c:pt>
                <c:pt idx="213">
                  <c:v>27</c:v>
                </c:pt>
                <c:pt idx="214">
                  <c:v>27</c:v>
                </c:pt>
                <c:pt idx="215">
                  <c:v>24</c:v>
                </c:pt>
                <c:pt idx="216">
                  <c:v>24</c:v>
                </c:pt>
                <c:pt idx="217">
                  <c:v>24</c:v>
                </c:pt>
                <c:pt idx="218">
                  <c:v>24</c:v>
                </c:pt>
                <c:pt idx="219">
                  <c:v>24</c:v>
                </c:pt>
                <c:pt idx="220">
                  <c:v>24</c:v>
                </c:pt>
                <c:pt idx="221">
                  <c:v>24</c:v>
                </c:pt>
                <c:pt idx="222">
                  <c:v>24</c:v>
                </c:pt>
                <c:pt idx="223">
                  <c:v>24</c:v>
                </c:pt>
                <c:pt idx="224">
                  <c:v>24</c:v>
                </c:pt>
                <c:pt idx="225">
                  <c:v>24</c:v>
                </c:pt>
                <c:pt idx="226">
                  <c:v>24</c:v>
                </c:pt>
                <c:pt idx="227">
                  <c:v>24</c:v>
                </c:pt>
                <c:pt idx="228">
                  <c:v>24</c:v>
                </c:pt>
                <c:pt idx="229">
                  <c:v>24</c:v>
                </c:pt>
                <c:pt idx="230">
                  <c:v>24</c:v>
                </c:pt>
                <c:pt idx="231">
                  <c:v>24</c:v>
                </c:pt>
                <c:pt idx="232">
                  <c:v>24</c:v>
                </c:pt>
                <c:pt idx="233">
                  <c:v>24</c:v>
                </c:pt>
                <c:pt idx="234">
                  <c:v>24</c:v>
                </c:pt>
                <c:pt idx="235">
                  <c:v>24</c:v>
                </c:pt>
                <c:pt idx="236">
                  <c:v>24</c:v>
                </c:pt>
                <c:pt idx="237">
                  <c:v>24</c:v>
                </c:pt>
                <c:pt idx="238">
                  <c:v>24</c:v>
                </c:pt>
                <c:pt idx="239">
                  <c:v>24</c:v>
                </c:pt>
                <c:pt idx="240">
                  <c:v>24</c:v>
                </c:pt>
                <c:pt idx="241">
                  <c:v>24</c:v>
                </c:pt>
                <c:pt idx="242">
                  <c:v>24</c:v>
                </c:pt>
                <c:pt idx="243">
                  <c:v>24</c:v>
                </c:pt>
                <c:pt idx="244">
                  <c:v>24</c:v>
                </c:pt>
                <c:pt idx="245">
                  <c:v>21</c:v>
                </c:pt>
                <c:pt idx="246">
                  <c:v>21</c:v>
                </c:pt>
                <c:pt idx="247">
                  <c:v>21</c:v>
                </c:pt>
                <c:pt idx="248">
                  <c:v>21</c:v>
                </c:pt>
                <c:pt idx="249">
                  <c:v>21</c:v>
                </c:pt>
                <c:pt idx="250">
                  <c:v>21</c:v>
                </c:pt>
                <c:pt idx="251">
                  <c:v>21</c:v>
                </c:pt>
                <c:pt idx="252">
                  <c:v>21</c:v>
                </c:pt>
                <c:pt idx="253">
                  <c:v>21</c:v>
                </c:pt>
                <c:pt idx="254">
                  <c:v>21</c:v>
                </c:pt>
                <c:pt idx="255">
                  <c:v>21</c:v>
                </c:pt>
                <c:pt idx="256">
                  <c:v>21</c:v>
                </c:pt>
                <c:pt idx="257">
                  <c:v>21</c:v>
                </c:pt>
                <c:pt idx="258">
                  <c:v>21</c:v>
                </c:pt>
                <c:pt idx="259">
                  <c:v>21</c:v>
                </c:pt>
                <c:pt idx="260">
                  <c:v>21</c:v>
                </c:pt>
                <c:pt idx="261">
                  <c:v>21</c:v>
                </c:pt>
                <c:pt idx="262">
                  <c:v>21</c:v>
                </c:pt>
                <c:pt idx="263">
                  <c:v>21</c:v>
                </c:pt>
                <c:pt idx="264">
                  <c:v>21</c:v>
                </c:pt>
                <c:pt idx="265">
                  <c:v>21</c:v>
                </c:pt>
                <c:pt idx="266">
                  <c:v>21</c:v>
                </c:pt>
                <c:pt idx="267">
                  <c:v>21</c:v>
                </c:pt>
                <c:pt idx="268">
                  <c:v>21</c:v>
                </c:pt>
                <c:pt idx="269">
                  <c:v>21</c:v>
                </c:pt>
                <c:pt idx="270">
                  <c:v>21</c:v>
                </c:pt>
                <c:pt idx="271">
                  <c:v>21</c:v>
                </c:pt>
                <c:pt idx="272">
                  <c:v>21</c:v>
                </c:pt>
                <c:pt idx="273">
                  <c:v>21</c:v>
                </c:pt>
                <c:pt idx="274">
                  <c:v>21</c:v>
                </c:pt>
                <c:pt idx="275">
                  <c:v>18</c:v>
                </c:pt>
                <c:pt idx="276">
                  <c:v>18</c:v>
                </c:pt>
                <c:pt idx="277">
                  <c:v>18</c:v>
                </c:pt>
                <c:pt idx="278">
                  <c:v>18</c:v>
                </c:pt>
                <c:pt idx="279">
                  <c:v>18</c:v>
                </c:pt>
                <c:pt idx="280">
                  <c:v>18</c:v>
                </c:pt>
                <c:pt idx="281">
                  <c:v>18</c:v>
                </c:pt>
                <c:pt idx="282">
                  <c:v>18</c:v>
                </c:pt>
                <c:pt idx="283">
                  <c:v>18</c:v>
                </c:pt>
                <c:pt idx="284">
                  <c:v>18</c:v>
                </c:pt>
                <c:pt idx="285">
                  <c:v>18</c:v>
                </c:pt>
                <c:pt idx="286">
                  <c:v>18</c:v>
                </c:pt>
                <c:pt idx="287">
                  <c:v>18</c:v>
                </c:pt>
                <c:pt idx="288">
                  <c:v>18</c:v>
                </c:pt>
                <c:pt idx="289">
                  <c:v>18</c:v>
                </c:pt>
                <c:pt idx="290">
                  <c:v>18</c:v>
                </c:pt>
                <c:pt idx="291">
                  <c:v>18</c:v>
                </c:pt>
                <c:pt idx="292">
                  <c:v>18</c:v>
                </c:pt>
                <c:pt idx="293">
                  <c:v>18</c:v>
                </c:pt>
                <c:pt idx="294">
                  <c:v>18</c:v>
                </c:pt>
                <c:pt idx="295">
                  <c:v>18</c:v>
                </c:pt>
                <c:pt idx="296">
                  <c:v>18</c:v>
                </c:pt>
                <c:pt idx="297">
                  <c:v>18</c:v>
                </c:pt>
                <c:pt idx="298">
                  <c:v>18</c:v>
                </c:pt>
                <c:pt idx="299">
                  <c:v>18</c:v>
                </c:pt>
                <c:pt idx="300">
                  <c:v>18</c:v>
                </c:pt>
                <c:pt idx="301">
                  <c:v>18</c:v>
                </c:pt>
                <c:pt idx="302">
                  <c:v>18</c:v>
                </c:pt>
                <c:pt idx="303">
                  <c:v>18</c:v>
                </c:pt>
                <c:pt idx="304">
                  <c:v>18</c:v>
                </c:pt>
              </c:numCache>
            </c:numRef>
          </c:val>
          <c:extLst>
            <c:ext xmlns:c16="http://schemas.microsoft.com/office/drawing/2014/chart" uri="{C3380CC4-5D6E-409C-BE32-E72D297353CC}">
              <c16:uniqueId val="{00000000-E741-45ED-8984-5F2658750194}"/>
            </c:ext>
          </c:extLst>
        </c:ser>
        <c:dLbls>
          <c:showLegendKey val="0"/>
          <c:showVal val="0"/>
          <c:showCatName val="0"/>
          <c:showSerName val="0"/>
          <c:showPercent val="0"/>
          <c:showBubbleSize val="0"/>
        </c:dLbls>
        <c:gapWidth val="219"/>
        <c:overlap val="-27"/>
        <c:axId val="429461631"/>
        <c:axId val="429476991"/>
      </c:barChart>
      <c:catAx>
        <c:axId val="4294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76991"/>
        <c:crosses val="autoZero"/>
        <c:auto val="1"/>
        <c:lblAlgn val="ctr"/>
        <c:lblOffset val="100"/>
        <c:noMultiLvlLbl val="0"/>
      </c:catAx>
      <c:valAx>
        <c:axId val="42947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6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(autorecoverd).xlsx]Pivot!PivotTable9</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429484191"/>
        <c:axId val="429491871"/>
      </c:barChart>
      <c:catAx>
        <c:axId val="4294841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91871"/>
        <c:crosses val="autoZero"/>
        <c:auto val="1"/>
        <c:lblAlgn val="ctr"/>
        <c:lblOffset val="100"/>
        <c:noMultiLvlLbl val="0"/>
      </c:catAx>
      <c:valAx>
        <c:axId val="42949187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8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Pivot!$E$97</c:f>
              <c:strCache>
                <c:ptCount val="1"/>
                <c:pt idx="0">
                  <c:v>Total</c:v>
                </c:pt>
              </c:strCache>
            </c:strRef>
          </c:tx>
          <c:spPr>
            <a:solidFill>
              <a:schemeClr val="accent1"/>
            </a:solidFill>
            <a:ln>
              <a:noFill/>
            </a:ln>
            <a:effectLst/>
          </c:spPr>
          <c:invertIfNegative val="0"/>
          <c:cat>
            <c:strRef>
              <c:f>Pivot!$D$98:$D$100</c:f>
              <c:strCache>
                <c:ptCount val="2"/>
                <c:pt idx="0">
                  <c:v>Completed</c:v>
                </c:pt>
                <c:pt idx="1">
                  <c:v>In Progress</c:v>
                </c:pt>
              </c:strCache>
            </c:strRef>
          </c:cat>
          <c:val>
            <c:numRef>
              <c:f>Pivot!$E$98:$E$100</c:f>
              <c:numCache>
                <c:formatCode>"₹"#,##0</c:formatCode>
                <c:ptCount val="2"/>
                <c:pt idx="0">
                  <c:v>2265</c:v>
                </c:pt>
                <c:pt idx="1">
                  <c:v>9105</c:v>
                </c:pt>
              </c:numCache>
            </c:numRef>
          </c:val>
          <c:extLst>
            <c:ext xmlns:c16="http://schemas.microsoft.com/office/drawing/2014/chart" uri="{C3380CC4-5D6E-409C-BE32-E72D297353CC}">
              <c16:uniqueId val="{00000000-D902-4401-A98D-D454376A4725}"/>
            </c:ext>
          </c:extLst>
        </c:ser>
        <c:dLbls>
          <c:showLegendKey val="0"/>
          <c:showVal val="0"/>
          <c:showCatName val="0"/>
          <c:showSerName val="0"/>
          <c:showPercent val="0"/>
          <c:showBubbleSize val="0"/>
        </c:dLbls>
        <c:gapWidth val="219"/>
        <c:overlap val="-27"/>
        <c:axId val="1803722816"/>
        <c:axId val="1803723296"/>
      </c:barChart>
      <c:catAx>
        <c:axId val="180372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23296"/>
        <c:crosses val="autoZero"/>
        <c:auto val="1"/>
        <c:lblAlgn val="ctr"/>
        <c:lblOffset val="100"/>
        <c:noMultiLvlLbl val="0"/>
      </c:catAx>
      <c:valAx>
        <c:axId val="1803723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2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(autorecoverd).xlsx]Pivot!pvttbl_Regionwisecount</c:name>
    <c:fmtId val="2"/>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IN"/>
              <a:t>Region-wise Project Count</a:t>
            </a:r>
          </a:p>
          <a:p>
            <a:pPr>
              <a:defRPr/>
            </a:pPr>
            <a:endParaRPr lang="en-IN"/>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FFC000"/>
          </a:solidFill>
          <a:ln>
            <a:noFill/>
          </a:ln>
          <a:effectLst/>
        </c:spPr>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1AFB-499C-A6C4-9849F9F65A4D}"/>
              </c:ext>
            </c:extLst>
          </c:dPt>
          <c:dPt>
            <c:idx val="1"/>
            <c:invertIfNegative val="0"/>
            <c:bubble3D val="0"/>
            <c:spPr>
              <a:solidFill>
                <a:srgbClr val="FFC000"/>
              </a:solidFill>
              <a:ln>
                <a:noFill/>
              </a:ln>
              <a:effectLst/>
            </c:spPr>
            <c:extLst>
              <c:ext xmlns:c16="http://schemas.microsoft.com/office/drawing/2014/chart" uri="{C3380CC4-5D6E-409C-BE32-E72D297353CC}">
                <c16:uniqueId val="{00000002-1AFB-499C-A6C4-9849F9F65A4D}"/>
              </c:ext>
            </c:extLst>
          </c:dPt>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Pivot!$A$2:$A$5</c:f>
              <c:strCache>
                <c:ptCount val="3"/>
                <c:pt idx="0">
                  <c:v>Central Kerala</c:v>
                </c:pt>
                <c:pt idx="1">
                  <c:v>North Kerala</c:v>
                </c:pt>
                <c:pt idx="2">
                  <c:v>South Kerala</c:v>
                </c:pt>
              </c:strCache>
            </c:strRef>
          </c:cat>
          <c:val>
            <c:numRef>
              <c:f>Pivot!$B$2:$B$5</c:f>
              <c:numCache>
                <c:formatCode>General</c:formatCode>
                <c:ptCount val="3"/>
                <c:pt idx="0">
                  <c:v>105</c:v>
                </c:pt>
                <c:pt idx="1">
                  <c:v>100</c:v>
                </c:pt>
                <c:pt idx="2">
                  <c:v>100</c:v>
                </c:pt>
              </c:numCache>
            </c:numRef>
          </c:val>
          <c:extLst>
            <c:ext xmlns:c16="http://schemas.microsoft.com/office/drawing/2014/chart" uri="{C3380CC4-5D6E-409C-BE32-E72D297353CC}">
              <c16:uniqueId val="{00000000-1AFB-499C-A6C4-9849F9F65A4D}"/>
            </c:ext>
          </c:extLst>
        </c:ser>
        <c:dLbls>
          <c:dLblPos val="outEnd"/>
          <c:showLegendKey val="0"/>
          <c:showVal val="1"/>
          <c:showCatName val="0"/>
          <c:showSerName val="0"/>
          <c:showPercent val="0"/>
          <c:showBubbleSize val="0"/>
        </c:dLbls>
        <c:gapWidth val="219"/>
        <c:overlap val="-27"/>
        <c:axId val="1829274079"/>
        <c:axId val="1829283199"/>
      </c:barChart>
      <c:catAx>
        <c:axId val="182927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9283199"/>
        <c:crosses val="autoZero"/>
        <c:auto val="1"/>
        <c:lblAlgn val="ctr"/>
        <c:lblOffset val="100"/>
        <c:noMultiLvlLbl val="0"/>
      </c:catAx>
      <c:valAx>
        <c:axId val="182928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927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(autorecoverd).xlsx]Pivot!pvttbl_installationstge</c:name>
    <c:fmtId val="4"/>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Installation Stage-Wise Project Count</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Pivot!$D$2:$D$8</c:f>
              <c:strCache>
                <c:ptCount val="6"/>
                <c:pt idx="0">
                  <c:v>Handover</c:v>
                </c:pt>
                <c:pt idx="1">
                  <c:v>Installation Started</c:v>
                </c:pt>
                <c:pt idx="2">
                  <c:v>Material Delivered</c:v>
                </c:pt>
                <c:pt idx="3">
                  <c:v>Material Ordered</c:v>
                </c:pt>
                <c:pt idx="4">
                  <c:v>Mechanical Completion</c:v>
                </c:pt>
                <c:pt idx="5">
                  <c:v>Testing &amp; Commissioning</c:v>
                </c:pt>
              </c:strCache>
            </c:strRef>
          </c:cat>
          <c:val>
            <c:numRef>
              <c:f>Pivot!$E$2:$E$8</c:f>
              <c:numCache>
                <c:formatCode>General</c:formatCode>
                <c:ptCount val="6"/>
                <c:pt idx="0">
                  <c:v>57</c:v>
                </c:pt>
                <c:pt idx="1">
                  <c:v>50</c:v>
                </c:pt>
                <c:pt idx="2">
                  <c:v>50</c:v>
                </c:pt>
                <c:pt idx="3">
                  <c:v>50</c:v>
                </c:pt>
                <c:pt idx="4">
                  <c:v>48</c:v>
                </c:pt>
                <c:pt idx="5">
                  <c:v>50</c:v>
                </c:pt>
              </c:numCache>
            </c:numRef>
          </c:val>
          <c:extLst>
            <c:ext xmlns:c16="http://schemas.microsoft.com/office/drawing/2014/chart" uri="{C3380CC4-5D6E-409C-BE32-E72D297353CC}">
              <c16:uniqueId val="{00000000-283B-4D68-8EB7-3F0AE25899AA}"/>
            </c:ext>
          </c:extLst>
        </c:ser>
        <c:dLbls>
          <c:dLblPos val="outEnd"/>
          <c:showLegendKey val="0"/>
          <c:showVal val="1"/>
          <c:showCatName val="0"/>
          <c:showSerName val="0"/>
          <c:showPercent val="0"/>
          <c:showBubbleSize val="0"/>
        </c:dLbls>
        <c:gapWidth val="219"/>
        <c:overlap val="-27"/>
        <c:axId val="1829296639"/>
        <c:axId val="1829302399"/>
      </c:barChart>
      <c:catAx>
        <c:axId val="182929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9302399"/>
        <c:crosses val="autoZero"/>
        <c:auto val="1"/>
        <c:lblAlgn val="ctr"/>
        <c:lblOffset val="100"/>
        <c:noMultiLvlLbl val="0"/>
      </c:catAx>
      <c:valAx>
        <c:axId val="182930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929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(autorecoverd).xlsx]Pivot!pvttbl_statuswise</c:name>
    <c:fmtId val="6"/>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IN"/>
              <a:t>Status Wise Project Count</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Pivot!$H$2:$H$4</c:f>
              <c:strCache>
                <c:ptCount val="2"/>
                <c:pt idx="0">
                  <c:v>Completed</c:v>
                </c:pt>
                <c:pt idx="1">
                  <c:v>In Progress</c:v>
                </c:pt>
              </c:strCache>
            </c:strRef>
          </c:cat>
          <c:val>
            <c:numRef>
              <c:f>Pivot!$I$2:$I$4</c:f>
              <c:numCache>
                <c:formatCode>General</c:formatCode>
                <c:ptCount val="2"/>
                <c:pt idx="0">
                  <c:v>58</c:v>
                </c:pt>
                <c:pt idx="1">
                  <c:v>247</c:v>
                </c:pt>
              </c:numCache>
            </c:numRef>
          </c:val>
          <c:extLst>
            <c:ext xmlns:c16="http://schemas.microsoft.com/office/drawing/2014/chart" uri="{C3380CC4-5D6E-409C-BE32-E72D297353CC}">
              <c16:uniqueId val="{00000000-B304-46FE-A7D1-16EAC2C336D0}"/>
            </c:ext>
          </c:extLst>
        </c:ser>
        <c:dLbls>
          <c:dLblPos val="outEnd"/>
          <c:showLegendKey val="0"/>
          <c:showVal val="1"/>
          <c:showCatName val="0"/>
          <c:showSerName val="0"/>
          <c:showPercent val="0"/>
          <c:showBubbleSize val="0"/>
        </c:dLbls>
        <c:gapWidth val="219"/>
        <c:overlap val="-27"/>
        <c:axId val="28483039"/>
        <c:axId val="28479679"/>
      </c:barChart>
      <c:catAx>
        <c:axId val="2848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28479679"/>
        <c:crosses val="autoZero"/>
        <c:auto val="1"/>
        <c:lblAlgn val="ctr"/>
        <c:lblOffset val="100"/>
        <c:noMultiLvlLbl val="0"/>
      </c:catAx>
      <c:valAx>
        <c:axId val="2847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2848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(autorecoverd).xlsx]Pivot!pvttbl_HOstatus</c:name>
    <c:fmtId val="8"/>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Handover Status Wise Project Count</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rgbClr val="FF0000"/>
          </a:solidFill>
          <a:ln w="19050">
            <a:solidFill>
              <a:schemeClr val="lt1"/>
            </a:solidFill>
          </a:ln>
          <a:effectLst/>
        </c:spPr>
      </c:pivotFmt>
    </c:pivotFmts>
    <c:plotArea>
      <c:layout/>
      <c:pieChart>
        <c:varyColors val="1"/>
        <c:ser>
          <c:idx val="0"/>
          <c:order val="0"/>
          <c:tx>
            <c:strRef>
              <c:f>Pivot!$M$1</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D6CE-4116-8308-B0375A7B3BA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6CE-4116-8308-B0375A7B3BA9}"/>
              </c:ext>
            </c:extLst>
          </c:dPt>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Pivot!$L$2:$L$4</c:f>
              <c:strCache>
                <c:ptCount val="2"/>
                <c:pt idx="0">
                  <c:v>Completed</c:v>
                </c:pt>
                <c:pt idx="1">
                  <c:v>Pending</c:v>
                </c:pt>
              </c:strCache>
            </c:strRef>
          </c:cat>
          <c:val>
            <c:numRef>
              <c:f>Pivot!$M$2:$M$4</c:f>
              <c:numCache>
                <c:formatCode>General</c:formatCode>
                <c:ptCount val="2"/>
                <c:pt idx="0">
                  <c:v>58</c:v>
                </c:pt>
                <c:pt idx="1">
                  <c:v>247</c:v>
                </c:pt>
              </c:numCache>
            </c:numRef>
          </c:val>
          <c:extLst>
            <c:ext xmlns:c16="http://schemas.microsoft.com/office/drawing/2014/chart" uri="{C3380CC4-5D6E-409C-BE32-E72D297353CC}">
              <c16:uniqueId val="{00000004-D6CE-4116-8308-B0375A7B3B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(autorecoverd).xlsx]Pivot!pvttbl_customertypewise</c:name>
    <c:fmtId val="10"/>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Customer Type Wise Project Count</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Pivot!$P$1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Pivot!$O$2:$O$9</c:f>
              <c:strCache>
                <c:ptCount val="7"/>
                <c:pt idx="0">
                  <c:v>Apartment</c:v>
                </c:pt>
                <c:pt idx="1">
                  <c:v>Commercial</c:v>
                </c:pt>
                <c:pt idx="2">
                  <c:v>Hospital</c:v>
                </c:pt>
                <c:pt idx="3">
                  <c:v>Hotel</c:v>
                </c:pt>
                <c:pt idx="4">
                  <c:v>Office</c:v>
                </c:pt>
                <c:pt idx="5">
                  <c:v>Residential</c:v>
                </c:pt>
                <c:pt idx="6">
                  <c:v>Shopping Mall</c:v>
                </c:pt>
              </c:strCache>
            </c:strRef>
          </c:cat>
          <c:val>
            <c:numRef>
              <c:f>Pivot!$P$2:$P$9</c:f>
              <c:numCache>
                <c:formatCode>General</c:formatCode>
                <c:ptCount val="7"/>
                <c:pt idx="0">
                  <c:v>49</c:v>
                </c:pt>
                <c:pt idx="1">
                  <c:v>51</c:v>
                </c:pt>
                <c:pt idx="2">
                  <c:v>50</c:v>
                </c:pt>
                <c:pt idx="3">
                  <c:v>51</c:v>
                </c:pt>
                <c:pt idx="4">
                  <c:v>51</c:v>
                </c:pt>
                <c:pt idx="5">
                  <c:v>52</c:v>
                </c:pt>
                <c:pt idx="6">
                  <c:v>1</c:v>
                </c:pt>
              </c:numCache>
            </c:numRef>
          </c:val>
          <c:extLst>
            <c:ext xmlns:c16="http://schemas.microsoft.com/office/drawing/2014/chart" uri="{C3380CC4-5D6E-409C-BE32-E72D297353CC}">
              <c16:uniqueId val="{00000000-9DA4-4A33-873E-9B7ECBFFEBE9}"/>
            </c:ext>
          </c:extLst>
        </c:ser>
        <c:dLbls>
          <c:dLblPos val="ctr"/>
          <c:showLegendKey val="0"/>
          <c:showVal val="1"/>
          <c:showCatName val="0"/>
          <c:showSerName val="0"/>
          <c:showPercent val="0"/>
          <c:showBubbleSize val="0"/>
        </c:dLbls>
        <c:gapWidth val="150"/>
        <c:overlap val="100"/>
        <c:axId val="1873710559"/>
        <c:axId val="1873710079"/>
      </c:barChart>
      <c:catAx>
        <c:axId val="187371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73710079"/>
        <c:crosses val="autoZero"/>
        <c:auto val="1"/>
        <c:lblAlgn val="ctr"/>
        <c:lblOffset val="100"/>
        <c:noMultiLvlLbl val="0"/>
      </c:catAx>
      <c:valAx>
        <c:axId val="187371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7371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(autorecoverd).xlsx]Pivot!pvttbl_citywise</c:name>
    <c:fmtId val="12"/>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City Wise Project Count</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Pivot!$S$2:$S$14</c:f>
              <c:strCache>
                <c:ptCount val="12"/>
                <c:pt idx="0">
                  <c:v>Alappuzha</c:v>
                </c:pt>
                <c:pt idx="1">
                  <c:v>Idukki</c:v>
                </c:pt>
                <c:pt idx="2">
                  <c:v>Kannur</c:v>
                </c:pt>
                <c:pt idx="3">
                  <c:v>Kasaragod</c:v>
                </c:pt>
                <c:pt idx="4">
                  <c:v>Kochi</c:v>
                </c:pt>
                <c:pt idx="5">
                  <c:v>Kollam</c:v>
                </c:pt>
                <c:pt idx="6">
                  <c:v>Kozhikode</c:v>
                </c:pt>
                <c:pt idx="7">
                  <c:v>Pathanamthitta</c:v>
                </c:pt>
                <c:pt idx="8">
                  <c:v>Thrissur</c:v>
                </c:pt>
                <c:pt idx="9">
                  <c:v>Trivandrum</c:v>
                </c:pt>
                <c:pt idx="10">
                  <c:v>Wayanad</c:v>
                </c:pt>
                <c:pt idx="11">
                  <c:v>Ernakulam</c:v>
                </c:pt>
              </c:strCache>
            </c:strRef>
          </c:cat>
          <c:val>
            <c:numRef>
              <c:f>Pivot!$T$2:$T$14</c:f>
              <c:numCache>
                <c:formatCode>General</c:formatCode>
                <c:ptCount val="12"/>
                <c:pt idx="0">
                  <c:v>26</c:v>
                </c:pt>
                <c:pt idx="1">
                  <c:v>49</c:v>
                </c:pt>
                <c:pt idx="2">
                  <c:v>25</c:v>
                </c:pt>
                <c:pt idx="3">
                  <c:v>24</c:v>
                </c:pt>
                <c:pt idx="4">
                  <c:v>5</c:v>
                </c:pt>
                <c:pt idx="5">
                  <c:v>25</c:v>
                </c:pt>
                <c:pt idx="6">
                  <c:v>26</c:v>
                </c:pt>
                <c:pt idx="7">
                  <c:v>24</c:v>
                </c:pt>
                <c:pt idx="8">
                  <c:v>50</c:v>
                </c:pt>
                <c:pt idx="9">
                  <c:v>25</c:v>
                </c:pt>
                <c:pt idx="10">
                  <c:v>25</c:v>
                </c:pt>
                <c:pt idx="11">
                  <c:v>1</c:v>
                </c:pt>
              </c:numCache>
            </c:numRef>
          </c:val>
          <c:extLst>
            <c:ext xmlns:c16="http://schemas.microsoft.com/office/drawing/2014/chart" uri="{C3380CC4-5D6E-409C-BE32-E72D297353CC}">
              <c16:uniqueId val="{00000000-DF15-4041-A4D0-0A03122C4940}"/>
            </c:ext>
          </c:extLst>
        </c:ser>
        <c:dLbls>
          <c:dLblPos val="outEnd"/>
          <c:showLegendKey val="0"/>
          <c:showVal val="1"/>
          <c:showCatName val="0"/>
          <c:showSerName val="0"/>
          <c:showPercent val="0"/>
          <c:showBubbleSize val="0"/>
        </c:dLbls>
        <c:gapWidth val="182"/>
        <c:axId val="1829325919"/>
        <c:axId val="1829309599"/>
      </c:barChart>
      <c:catAx>
        <c:axId val="182932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9309599"/>
        <c:crosses val="autoZero"/>
        <c:auto val="1"/>
        <c:lblAlgn val="ctr"/>
        <c:lblOffset val="100"/>
        <c:noMultiLvlLbl val="0"/>
      </c:catAx>
      <c:valAx>
        <c:axId val="182930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932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(autorecoverd).xlsx]Pivot!PivotTable2</c:name>
    <c:fmtId val="2"/>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Delay Satus-Wise Project Count</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Pivot!$A$32:$A$36</c:f>
              <c:strCache>
                <c:ptCount val="4"/>
                <c:pt idx="0">
                  <c:v>Delayed</c:v>
                </c:pt>
                <c:pt idx="1">
                  <c:v>Early</c:v>
                </c:pt>
                <c:pt idx="2">
                  <c:v>In Progress</c:v>
                </c:pt>
                <c:pt idx="3">
                  <c:v>On Time</c:v>
                </c:pt>
              </c:strCache>
            </c:strRef>
          </c:cat>
          <c:val>
            <c:numRef>
              <c:f>Pivot!$B$32:$B$36</c:f>
              <c:numCache>
                <c:formatCode>General</c:formatCode>
                <c:ptCount val="4"/>
                <c:pt idx="0">
                  <c:v>92</c:v>
                </c:pt>
                <c:pt idx="1">
                  <c:v>93</c:v>
                </c:pt>
                <c:pt idx="2">
                  <c:v>75</c:v>
                </c:pt>
                <c:pt idx="3">
                  <c:v>45</c:v>
                </c:pt>
              </c:numCache>
            </c:numRef>
          </c:val>
          <c:extLst>
            <c:ext xmlns:c16="http://schemas.microsoft.com/office/drawing/2014/chart" uri="{C3380CC4-5D6E-409C-BE32-E72D297353CC}">
              <c16:uniqueId val="{00000000-92BA-4F47-BA31-804CD5F9726A}"/>
            </c:ext>
          </c:extLst>
        </c:ser>
        <c:dLbls>
          <c:dLblPos val="outEnd"/>
          <c:showLegendKey val="0"/>
          <c:showVal val="1"/>
          <c:showCatName val="0"/>
          <c:showSerName val="0"/>
          <c:showPercent val="0"/>
          <c:showBubbleSize val="0"/>
        </c:dLbls>
        <c:gapWidth val="219"/>
        <c:overlap val="-27"/>
        <c:axId val="453625504"/>
        <c:axId val="453625984"/>
      </c:barChart>
      <c:catAx>
        <c:axId val="45362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453625984"/>
        <c:crosses val="autoZero"/>
        <c:auto val="1"/>
        <c:lblAlgn val="ctr"/>
        <c:lblOffset val="100"/>
        <c:noMultiLvlLbl val="0"/>
      </c:catAx>
      <c:valAx>
        <c:axId val="45362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45362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40000"/>
          <a:lumOff val="6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(autorecoverd).xlsx]Pivot!PivotTable7</c:name>
    <c:fmtId val="3"/>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Highest Value Projects</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Pivot!$I$50</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Pivot!$H$51:$H$53</c:f>
              <c:strCache>
                <c:ptCount val="2"/>
                <c:pt idx="0">
                  <c:v>Completed</c:v>
                </c:pt>
                <c:pt idx="1">
                  <c:v>In Progress</c:v>
                </c:pt>
              </c:strCache>
            </c:strRef>
          </c:cat>
          <c:val>
            <c:numRef>
              <c:f>Pivot!$I$51:$I$53</c:f>
              <c:numCache>
                <c:formatCode>"₹"#,##0</c:formatCode>
                <c:ptCount val="2"/>
                <c:pt idx="0">
                  <c:v>2265</c:v>
                </c:pt>
                <c:pt idx="1">
                  <c:v>9105</c:v>
                </c:pt>
              </c:numCache>
            </c:numRef>
          </c:val>
          <c:extLst>
            <c:ext xmlns:c16="http://schemas.microsoft.com/office/drawing/2014/chart" uri="{C3380CC4-5D6E-409C-BE32-E72D297353CC}">
              <c16:uniqueId val="{00000000-C831-4A59-8CAA-A76D7FC3370F}"/>
            </c:ext>
          </c:extLst>
        </c:ser>
        <c:dLbls>
          <c:dLblPos val="outEnd"/>
          <c:showLegendKey val="0"/>
          <c:showVal val="1"/>
          <c:showCatName val="0"/>
          <c:showSerName val="0"/>
          <c:showPercent val="0"/>
          <c:showBubbleSize val="0"/>
        </c:dLbls>
        <c:gapWidth val="219"/>
        <c:overlap val="-27"/>
        <c:axId val="1028514015"/>
        <c:axId val="1028520735"/>
      </c:barChart>
      <c:catAx>
        <c:axId val="10285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028520735"/>
        <c:crosses val="autoZero"/>
        <c:auto val="1"/>
        <c:lblAlgn val="ctr"/>
        <c:lblOffset val="100"/>
        <c:noMultiLvlLbl val="0"/>
      </c:catAx>
      <c:valAx>
        <c:axId val="1028520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0285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(autorecoverd).xlsx]Pivot!PivotTable5</c:name>
    <c:fmtId val="19"/>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Region-wise Project Value</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Pivot!$F$50</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Pivot!$E$51:$E$54</c:f>
              <c:strCache>
                <c:ptCount val="3"/>
                <c:pt idx="0">
                  <c:v>Central Kerala</c:v>
                </c:pt>
                <c:pt idx="1">
                  <c:v>North Kerala</c:v>
                </c:pt>
                <c:pt idx="2">
                  <c:v>South Kerala</c:v>
                </c:pt>
              </c:strCache>
            </c:strRef>
          </c:cat>
          <c:val>
            <c:numRef>
              <c:f>Pivot!$F$51:$F$54</c:f>
              <c:numCache>
                <c:formatCode>"₹"#,##0</c:formatCode>
                <c:ptCount val="3"/>
                <c:pt idx="0">
                  <c:v>3992</c:v>
                </c:pt>
                <c:pt idx="1">
                  <c:v>3709</c:v>
                </c:pt>
                <c:pt idx="2">
                  <c:v>3669</c:v>
                </c:pt>
              </c:numCache>
            </c:numRef>
          </c:val>
          <c:extLst>
            <c:ext xmlns:c16="http://schemas.microsoft.com/office/drawing/2014/chart" uri="{C3380CC4-5D6E-409C-BE32-E72D297353CC}">
              <c16:uniqueId val="{00000000-1EAF-4E5C-91BC-0A85F94E80C2}"/>
            </c:ext>
          </c:extLst>
        </c:ser>
        <c:dLbls>
          <c:dLblPos val="outEnd"/>
          <c:showLegendKey val="0"/>
          <c:showVal val="1"/>
          <c:showCatName val="0"/>
          <c:showSerName val="0"/>
          <c:showPercent val="0"/>
          <c:showBubbleSize val="0"/>
        </c:dLbls>
        <c:gapWidth val="219"/>
        <c:overlap val="-27"/>
        <c:axId val="723969615"/>
        <c:axId val="723986415"/>
      </c:barChart>
      <c:catAx>
        <c:axId val="72396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723986415"/>
        <c:crosses val="autoZero"/>
        <c:auto val="1"/>
        <c:lblAlgn val="ctr"/>
        <c:lblOffset val="100"/>
        <c:noMultiLvlLbl val="0"/>
      </c:catAx>
      <c:valAx>
        <c:axId val="723986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72396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60000"/>
          <a:lumOff val="4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[Elevator_Project_Monitoring_Dashboard_V1  (autorecoverd).xlsx]Pivot!PivotTable6</c:name>
    <c:fmtId val="7"/>
  </c:pivotSource>
  <c:chart>
    <c:title>
      <c:tx>
        <c:rich>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r>
              <a:rPr lang="en-US"/>
              <a:t>Customer Type-wise Project Value</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Pivot!$F$58</c:f>
              <c:strCache>
                <c:ptCount val="1"/>
                <c:pt idx="0">
                  <c:v>Total</c:v>
                </c:pt>
              </c:strCache>
            </c:strRef>
          </c:tx>
          <c:spPr>
            <a:solidFill>
              <a:srgbClr val="C00000"/>
            </a:solidFill>
            <a:ln>
              <a:noFill/>
            </a:ln>
            <a:effectLst/>
          </c:spPr>
          <c:invertIfNegative val="0"/>
          <c:cat>
            <c:strRef>
              <c:f>Pivot!$E$59:$E$66</c:f>
              <c:strCache>
                <c:ptCount val="7"/>
                <c:pt idx="0">
                  <c:v>Apartment</c:v>
                </c:pt>
                <c:pt idx="1">
                  <c:v>Commercial</c:v>
                </c:pt>
                <c:pt idx="2">
                  <c:v>Hospital</c:v>
                </c:pt>
                <c:pt idx="3">
                  <c:v>Hotel</c:v>
                </c:pt>
                <c:pt idx="4">
                  <c:v>Office</c:v>
                </c:pt>
                <c:pt idx="5">
                  <c:v>Residential</c:v>
                </c:pt>
                <c:pt idx="6">
                  <c:v>Shopping Mall</c:v>
                </c:pt>
              </c:strCache>
            </c:strRef>
          </c:cat>
          <c:val>
            <c:numRef>
              <c:f>Pivot!$F$59:$F$66</c:f>
              <c:numCache>
                <c:formatCode>"₹"#,##0</c:formatCode>
                <c:ptCount val="7"/>
                <c:pt idx="0">
                  <c:v>1949</c:v>
                </c:pt>
                <c:pt idx="1">
                  <c:v>2002</c:v>
                </c:pt>
                <c:pt idx="2">
                  <c:v>1754</c:v>
                </c:pt>
                <c:pt idx="3">
                  <c:v>1775</c:v>
                </c:pt>
                <c:pt idx="4">
                  <c:v>2046</c:v>
                </c:pt>
                <c:pt idx="5">
                  <c:v>1789</c:v>
                </c:pt>
                <c:pt idx="6">
                  <c:v>55</c:v>
                </c:pt>
              </c:numCache>
            </c:numRef>
          </c:val>
          <c:extLst>
            <c:ext xmlns:c16="http://schemas.microsoft.com/office/drawing/2014/chart" uri="{C3380CC4-5D6E-409C-BE32-E72D297353CC}">
              <c16:uniqueId val="{00000000-3192-4C81-A714-36C1218462EE}"/>
            </c:ext>
          </c:extLst>
        </c:ser>
        <c:dLbls>
          <c:showLegendKey val="0"/>
          <c:showVal val="0"/>
          <c:showCatName val="0"/>
          <c:showSerName val="0"/>
          <c:showPercent val="0"/>
          <c:showBubbleSize val="0"/>
        </c:dLbls>
        <c:gapWidth val="219"/>
        <c:overlap val="-27"/>
        <c:axId val="731629391"/>
        <c:axId val="731631311"/>
      </c:barChart>
      <c:catAx>
        <c:axId val="73162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731631311"/>
        <c:crosses val="autoZero"/>
        <c:auto val="1"/>
        <c:lblAlgn val="ctr"/>
        <c:lblOffset val="100"/>
        <c:noMultiLvlLbl val="0"/>
      </c:catAx>
      <c:valAx>
        <c:axId val="73163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73162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60000"/>
          <a:lumOff val="40000"/>
        </a:schemeClr>
      </a:solidFill>
      <a:round/>
    </a:ln>
    <a:effectLst/>
  </c:spPr>
  <c:txPr>
    <a:bodyPr/>
    <a:lstStyle/>
    <a:p>
      <a:pPr>
        <a:defRPr sz="12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[Elevator_Project_Monitoring_Dashboard_V1  (autorecoverd).xlsx]Pivot!PivotTable10</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PROJECT VALUE BY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Pivot!$E$97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Pivot!$D$98:$D$100</c:f>
              <c:strCache>
                <c:ptCount val="2"/>
                <c:pt idx="0">
                  <c:v>Completed</c:v>
                </c:pt>
                <c:pt idx="1">
                  <c:v>In Progress</c:v>
                </c:pt>
              </c:strCache>
            </c:strRef>
          </c:cat>
          <c:val>
            <c:numRef>
              <c:f>Pivot!$E$98:$E$100</c:f>
              <c:numCache>
                <c:formatCode>"₹"#,##0</c:formatCode>
                <c:ptCount val="2"/>
                <c:pt idx="0">
                  <c:v>2265</c:v>
                </c:pt>
                <c:pt idx="1">
                  <c:v>9105</c:v>
                </c:pt>
              </c:numCache>
            </c:numRef>
          </c:val>
          <c:extLst>
            <c:ext xmlns:c16="http://schemas.microsoft.com/office/drawing/2014/chart" uri="{C3380CC4-5D6E-409C-BE32-E72D297353CC}">
              <c16:uniqueId val="{00000000-9859-4BFD-9E14-B64498483401}"/>
            </c:ext>
          </c:extLst>
        </c:ser>
        <c:dLbls>
          <c:dLblPos val="outEnd"/>
          <c:showLegendKey val="0"/>
          <c:showVal val="1"/>
          <c:showCatName val="0"/>
          <c:showSerName val="0"/>
          <c:showPercent val="0"/>
          <c:showBubbleSize val="0"/>
        </c:dLbls>
        <c:gapWidth val="219"/>
        <c:overlap val="-27"/>
        <c:axId val="1803731936"/>
        <c:axId val="1803737696"/>
      </c:barChart>
      <c:catAx>
        <c:axId val="180373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803737696"/>
        <c:crosses val="autoZero"/>
        <c:auto val="1"/>
        <c:lblAlgn val="ctr"/>
        <c:lblOffset val="100"/>
        <c:noMultiLvlLbl val="0"/>
      </c:catAx>
      <c:valAx>
        <c:axId val="180373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80373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38100</xdr:rowOff>
    </xdr:from>
    <xdr:to>
      <xdr:col>2</xdr:col>
      <xdr:colOff>304801</xdr:colOff>
      <xdr:row>21</xdr:row>
      <xdr:rowOff>19050</xdr:rowOff>
    </xdr:to>
    <xdr:graphicFrame macro="">
      <xdr:nvGraphicFramePr>
        <xdr:cNvPr id="2" name="Chart 1">
          <a:extLst>
            <a:ext uri="{FF2B5EF4-FFF2-40B4-BE49-F238E27FC236}">
              <a16:creationId xmlns:a16="http://schemas.microsoft.com/office/drawing/2014/main" id="{CB42ABD0-21ED-79BE-6F8B-31E7CD60C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517525</xdr:colOff>
      <xdr:row>9</xdr:row>
      <xdr:rowOff>19050</xdr:rowOff>
    </xdr:from>
    <xdr:to>
      <xdr:col>6</xdr:col>
      <xdr:colOff>158750</xdr:colOff>
      <xdr:row>25</xdr:row>
      <xdr:rowOff>127000</xdr:rowOff>
    </xdr:to>
    <xdr:graphicFrame macro="">
      <xdr:nvGraphicFramePr>
        <xdr:cNvPr id="3" name="Chart 2">
          <a:extLst>
            <a:ext uri="{FF2B5EF4-FFF2-40B4-BE49-F238E27FC236}">
              <a16:creationId xmlns:a16="http://schemas.microsoft.com/office/drawing/2014/main" id="{8A87ADBE-3828-98E7-486C-69C6382A4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342899</xdr:colOff>
      <xdr:row>5</xdr:row>
      <xdr:rowOff>50800</xdr:rowOff>
    </xdr:from>
    <xdr:to>
      <xdr:col>10</xdr:col>
      <xdr:colOff>358774</xdr:colOff>
      <xdr:row>17</xdr:row>
      <xdr:rowOff>152400</xdr:rowOff>
    </xdr:to>
    <xdr:graphicFrame macro="">
      <xdr:nvGraphicFramePr>
        <xdr:cNvPr id="4" name="Chart 3">
          <a:extLst>
            <a:ext uri="{FF2B5EF4-FFF2-40B4-BE49-F238E27FC236}">
              <a16:creationId xmlns:a16="http://schemas.microsoft.com/office/drawing/2014/main" id="{4B77B94A-5F98-D32B-BBDE-B54346BE9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504825</xdr:colOff>
      <xdr:row>5</xdr:row>
      <xdr:rowOff>0</xdr:rowOff>
    </xdr:from>
    <xdr:to>
      <xdr:col>13</xdr:col>
      <xdr:colOff>323850</xdr:colOff>
      <xdr:row>15</xdr:row>
      <xdr:rowOff>139700</xdr:rowOff>
    </xdr:to>
    <xdr:graphicFrame macro="">
      <xdr:nvGraphicFramePr>
        <xdr:cNvPr id="5" name="Chart 4">
          <a:extLst>
            <a:ext uri="{FF2B5EF4-FFF2-40B4-BE49-F238E27FC236}">
              <a16:creationId xmlns:a16="http://schemas.microsoft.com/office/drawing/2014/main" id="{1D184D4B-9A00-BF45-2C48-256539197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415925</xdr:colOff>
      <xdr:row>9</xdr:row>
      <xdr:rowOff>146050</xdr:rowOff>
    </xdr:from>
    <xdr:to>
      <xdr:col>17</xdr:col>
      <xdr:colOff>69850</xdr:colOff>
      <xdr:row>26</xdr:row>
      <xdr:rowOff>171450</xdr:rowOff>
    </xdr:to>
    <xdr:graphicFrame macro="">
      <xdr:nvGraphicFramePr>
        <xdr:cNvPr id="6" name="Chart 5">
          <a:extLst>
            <a:ext uri="{FF2B5EF4-FFF2-40B4-BE49-F238E27FC236}">
              <a16:creationId xmlns:a16="http://schemas.microsoft.com/office/drawing/2014/main" id="{9BFA3DA7-4446-E752-D209-CD108BEC3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311149</xdr:colOff>
      <xdr:row>14</xdr:row>
      <xdr:rowOff>0</xdr:rowOff>
    </xdr:from>
    <xdr:to>
      <xdr:col>20</xdr:col>
      <xdr:colOff>393700</xdr:colOff>
      <xdr:row>28</xdr:row>
      <xdr:rowOff>82550</xdr:rowOff>
    </xdr:to>
    <xdr:graphicFrame macro="">
      <xdr:nvGraphicFramePr>
        <xdr:cNvPr id="7" name="Chart 6">
          <a:extLst>
            <a:ext uri="{FF2B5EF4-FFF2-40B4-BE49-F238E27FC236}">
              <a16:creationId xmlns:a16="http://schemas.microsoft.com/office/drawing/2014/main" id="{3CD534E6-211E-56BE-2620-63FAD4D8A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156587</xdr:rowOff>
    </xdr:from>
    <xdr:to>
      <xdr:col>3</xdr:col>
      <xdr:colOff>395654</xdr:colOff>
      <xdr:row>51</xdr:row>
      <xdr:rowOff>91133</xdr:rowOff>
    </xdr:to>
    <xdr:graphicFrame macro="">
      <xdr:nvGraphicFramePr>
        <xdr:cNvPr id="8" name="Chart 7">
          <a:extLst>
            <a:ext uri="{FF2B5EF4-FFF2-40B4-BE49-F238E27FC236}">
              <a16:creationId xmlns:a16="http://schemas.microsoft.com/office/drawing/2014/main" id="{EFD564B6-B785-4FA8-BEDD-5CFC90D63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421408</xdr:colOff>
      <xdr:row>68</xdr:row>
      <xdr:rowOff>19627</xdr:rowOff>
    </xdr:from>
    <xdr:to>
      <xdr:col>5</xdr:col>
      <xdr:colOff>1518228</xdr:colOff>
      <xdr:row>82</xdr:row>
      <xdr:rowOff>176646</xdr:rowOff>
    </xdr:to>
    <xdr:graphicFrame macro="">
      <xdr:nvGraphicFramePr>
        <xdr:cNvPr id="9" name="Chart 8">
          <a:extLst>
            <a:ext uri="{FF2B5EF4-FFF2-40B4-BE49-F238E27FC236}">
              <a16:creationId xmlns:a16="http://schemas.microsoft.com/office/drawing/2014/main" id="{172D4AEC-DF0D-C08C-0901-53542F42C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1079500</xdr:colOff>
      <xdr:row>79</xdr:row>
      <xdr:rowOff>158172</xdr:rowOff>
    </xdr:from>
    <xdr:to>
      <xdr:col>2</xdr:col>
      <xdr:colOff>1518227</xdr:colOff>
      <xdr:row>94</xdr:row>
      <xdr:rowOff>130463</xdr:rowOff>
    </xdr:to>
    <xdr:graphicFrame macro="">
      <xdr:nvGraphicFramePr>
        <xdr:cNvPr id="10" name="Chart 9">
          <a:extLst>
            <a:ext uri="{FF2B5EF4-FFF2-40B4-BE49-F238E27FC236}">
              <a16:creationId xmlns:a16="http://schemas.microsoft.com/office/drawing/2014/main" id="{940F8DE4-D79C-51CB-1480-7B38CF353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109682</xdr:colOff>
      <xdr:row>74</xdr:row>
      <xdr:rowOff>123536</xdr:rowOff>
    </xdr:from>
    <xdr:to>
      <xdr:col>4</xdr:col>
      <xdr:colOff>98136</xdr:colOff>
      <xdr:row>89</xdr:row>
      <xdr:rowOff>95827</xdr:rowOff>
    </xdr:to>
    <xdr:graphicFrame macro="">
      <xdr:nvGraphicFramePr>
        <xdr:cNvPr id="11" name="Chart 10">
          <a:extLst>
            <a:ext uri="{FF2B5EF4-FFF2-40B4-BE49-F238E27FC236}">
              <a16:creationId xmlns:a16="http://schemas.microsoft.com/office/drawing/2014/main" id="{950FCAA5-5AEB-7D69-E61E-DE7CFCB31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158751</xdr:colOff>
      <xdr:row>7</xdr:row>
      <xdr:rowOff>31751</xdr:rowOff>
    </xdr:from>
    <xdr:to>
      <xdr:col>4</xdr:col>
      <xdr:colOff>44451</xdr:colOff>
      <xdr:row>20</xdr:row>
      <xdr:rowOff>31751</xdr:rowOff>
    </xdr:to>
    <xdr:graphicFrame macro="">
      <xdr:nvGraphicFramePr>
        <xdr:cNvPr id="2" name="Chart 1">
          <a:extLst>
            <a:ext uri="{FF2B5EF4-FFF2-40B4-BE49-F238E27FC236}">
              <a16:creationId xmlns:a16="http://schemas.microsoft.com/office/drawing/2014/main" id="{ECD42FAA-AC18-4B3A-BC14-C760AF303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158750</xdr:colOff>
      <xdr:row>7</xdr:row>
      <xdr:rowOff>19051</xdr:rowOff>
    </xdr:from>
    <xdr:to>
      <xdr:col>9</xdr:col>
      <xdr:colOff>50799</xdr:colOff>
      <xdr:row>20</xdr:row>
      <xdr:rowOff>19050</xdr:rowOff>
    </xdr:to>
    <xdr:graphicFrame macro="">
      <xdr:nvGraphicFramePr>
        <xdr:cNvPr id="3" name="Chart 2">
          <a:extLst>
            <a:ext uri="{FF2B5EF4-FFF2-40B4-BE49-F238E27FC236}">
              <a16:creationId xmlns:a16="http://schemas.microsoft.com/office/drawing/2014/main" id="{A3A3B147-F7C6-4C21-931E-1F8784D94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158750</xdr:colOff>
      <xdr:row>7</xdr:row>
      <xdr:rowOff>31750</xdr:rowOff>
    </xdr:from>
    <xdr:to>
      <xdr:col>14</xdr:col>
      <xdr:colOff>25399</xdr:colOff>
      <xdr:row>20</xdr:row>
      <xdr:rowOff>44450</xdr:rowOff>
    </xdr:to>
    <xdr:graphicFrame macro="">
      <xdr:nvGraphicFramePr>
        <xdr:cNvPr id="4" name="Chart 3">
          <a:extLst>
            <a:ext uri="{FF2B5EF4-FFF2-40B4-BE49-F238E27FC236}">
              <a16:creationId xmlns:a16="http://schemas.microsoft.com/office/drawing/2014/main" id="{26467AA3-8034-4AC8-9FA4-E06ABF2D7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158750</xdr:colOff>
      <xdr:row>20</xdr:row>
      <xdr:rowOff>139581</xdr:rowOff>
    </xdr:from>
    <xdr:to>
      <xdr:col>4</xdr:col>
      <xdr:colOff>566107</xdr:colOff>
      <xdr:row>35</xdr:row>
      <xdr:rowOff>187505</xdr:rowOff>
    </xdr:to>
    <xdr:graphicFrame macro="">
      <xdr:nvGraphicFramePr>
        <xdr:cNvPr id="5" name="Chart 4">
          <a:extLst>
            <a:ext uri="{FF2B5EF4-FFF2-40B4-BE49-F238E27FC236}">
              <a16:creationId xmlns:a16="http://schemas.microsoft.com/office/drawing/2014/main" id="{7E66D8AA-AB31-4B03-B891-1F6D778D7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104475</xdr:colOff>
      <xdr:row>20</xdr:row>
      <xdr:rowOff>151561</xdr:rowOff>
    </xdr:from>
    <xdr:to>
      <xdr:col>10</xdr:col>
      <xdr:colOff>53674</xdr:colOff>
      <xdr:row>35</xdr:row>
      <xdr:rowOff>151561</xdr:rowOff>
    </xdr:to>
    <xdr:graphicFrame macro="">
      <xdr:nvGraphicFramePr>
        <xdr:cNvPr id="6" name="Chart 5">
          <a:extLst>
            <a:ext uri="{FF2B5EF4-FFF2-40B4-BE49-F238E27FC236}">
              <a16:creationId xmlns:a16="http://schemas.microsoft.com/office/drawing/2014/main" id="{7C6EA897-E5C0-4934-A016-5D6508B97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219375</xdr:colOff>
      <xdr:row>20</xdr:row>
      <xdr:rowOff>174625</xdr:rowOff>
    </xdr:from>
    <xdr:to>
      <xdr:col>15</xdr:col>
      <xdr:colOff>60625</xdr:colOff>
      <xdr:row>35</xdr:row>
      <xdr:rowOff>103937</xdr:rowOff>
    </xdr:to>
    <xdr:graphicFrame macro="">
      <xdr:nvGraphicFramePr>
        <xdr:cNvPr id="7" name="Chart 6">
          <a:extLst>
            <a:ext uri="{FF2B5EF4-FFF2-40B4-BE49-F238E27FC236}">
              <a16:creationId xmlns:a16="http://schemas.microsoft.com/office/drawing/2014/main" id="{C1C27496-391A-4444-8E72-F9E1512BD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158749</xdr:colOff>
      <xdr:row>6</xdr:row>
      <xdr:rowOff>172129</xdr:rowOff>
    </xdr:from>
    <xdr:to>
      <xdr:col>18</xdr:col>
      <xdr:colOff>286833</xdr:colOff>
      <xdr:row>15</xdr:row>
      <xdr:rowOff>172879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82B5FEA-BFE1-4F3A-847F-7060C251DD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96249" y="1373107"/>
              <a:ext cx="2322975" cy="161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578486</xdr:colOff>
      <xdr:row>6</xdr:row>
      <xdr:rowOff>172129</xdr:rowOff>
    </xdr:from>
    <xdr:to>
      <xdr:col>27</xdr:col>
      <xdr:colOff>45111</xdr:colOff>
      <xdr:row>15</xdr:row>
      <xdr:rowOff>172879</xdr:rowOff>
    </xdr:to>
    <mc:AlternateContent xmlns:mc="http://schemas.openxmlformats.org/markup-compatibility/2006">
      <mc:Choice xmlns:a14="http://schemas.microsoft.com/office/drawing/2010/main" Requires="a14">
        <xdr:graphicFrame macro="">
          <xdr:nvGraphicFramePr>
            <xdr:cNvPr id="9" name="Status">
              <a:extLst>
                <a:ext uri="{FF2B5EF4-FFF2-40B4-BE49-F238E27FC236}">
                  <a16:creationId xmlns:a16="http://schemas.microsoft.com/office/drawing/2014/main" id="{1978F891-83CA-48AB-8CBE-D7B8BEDA1AD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988595" y="1373107"/>
              <a:ext cx="2337929" cy="161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423537</xdr:colOff>
      <xdr:row>6</xdr:row>
      <xdr:rowOff>172129</xdr:rowOff>
    </xdr:from>
    <xdr:to>
      <xdr:col>22</xdr:col>
      <xdr:colOff>466953</xdr:colOff>
      <xdr:row>15</xdr:row>
      <xdr:rowOff>172879</xdr:rowOff>
    </xdr:to>
    <mc:AlternateContent xmlns:mc="http://schemas.openxmlformats.org/markup-compatibility/2006">
      <mc:Choice xmlns:a14="http://schemas.microsoft.com/office/drawing/2010/main" Requires="a14">
        <xdr:graphicFrame macro="">
          <xdr:nvGraphicFramePr>
            <xdr:cNvPr id="10" name="Customer Type">
              <a:extLst>
                <a:ext uri="{FF2B5EF4-FFF2-40B4-BE49-F238E27FC236}">
                  <a16:creationId xmlns:a16="http://schemas.microsoft.com/office/drawing/2014/main" id="{E57C3B16-802D-4E8F-A239-2998901D32A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0555928" y="1373107"/>
              <a:ext cx="2321134" cy="161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285749</xdr:colOff>
      <xdr:row>20</xdr:row>
      <xdr:rowOff>174625</xdr:rowOff>
    </xdr:from>
    <xdr:to>
      <xdr:col>21</xdr:col>
      <xdr:colOff>349249</xdr:colOff>
      <xdr:row>35</xdr:row>
      <xdr:rowOff>158750</xdr:rowOff>
    </xdr:to>
    <xdr:graphicFrame macro="">
      <xdr:nvGraphicFramePr>
        <xdr:cNvPr id="11" name="Chart 10">
          <a:extLst>
            <a:ext uri="{FF2B5EF4-FFF2-40B4-BE49-F238E27FC236}">
              <a16:creationId xmlns:a16="http://schemas.microsoft.com/office/drawing/2014/main" id="{B943156C-D1C1-4A42-ADAE-7D2ED1444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565652</xdr:colOff>
      <xdr:row>20</xdr:row>
      <xdr:rowOff>160379</xdr:rowOff>
    </xdr:from>
    <xdr:to>
      <xdr:col>30</xdr:col>
      <xdr:colOff>619125</xdr:colOff>
      <xdr:row>35</xdr:row>
      <xdr:rowOff>158751</xdr:rowOff>
    </xdr:to>
    <xdr:graphicFrame macro="">
      <xdr:nvGraphicFramePr>
        <xdr:cNvPr id="16" name="Chart 15">
          <a:extLst>
            <a:ext uri="{FF2B5EF4-FFF2-40B4-BE49-F238E27FC236}">
              <a16:creationId xmlns:a16="http://schemas.microsoft.com/office/drawing/2014/main" id="{DA9242D8-D4AA-451D-8D8C-3BFE434E2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158751</xdr:colOff>
      <xdr:row>36</xdr:row>
      <xdr:rowOff>63500</xdr:rowOff>
    </xdr:from>
    <xdr:to>
      <xdr:col>7</xdr:col>
      <xdr:colOff>276796</xdr:colOff>
      <xdr:row>55</xdr:row>
      <xdr:rowOff>4070</xdr:rowOff>
    </xdr:to>
    <xdr:graphicFrame macro="">
      <xdr:nvGraphicFramePr>
        <xdr:cNvPr id="14" name="Chart 13">
          <a:extLst>
            <a:ext uri="{FF2B5EF4-FFF2-40B4-BE49-F238E27FC236}">
              <a16:creationId xmlns:a16="http://schemas.microsoft.com/office/drawing/2014/main" id="{19E6BE52-9BE3-4DD0-B73E-E312A4F32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158750</xdr:colOff>
      <xdr:row>36</xdr:row>
      <xdr:rowOff>95250</xdr:rowOff>
    </xdr:from>
    <xdr:to>
      <xdr:col>16</xdr:col>
      <xdr:colOff>5454</xdr:colOff>
      <xdr:row>55</xdr:row>
      <xdr:rowOff>35820</xdr:rowOff>
    </xdr:to>
    <xdr:graphicFrame macro="">
      <xdr:nvGraphicFramePr>
        <xdr:cNvPr id="17" name="Chart 16">
          <a:extLst>
            <a:ext uri="{FF2B5EF4-FFF2-40B4-BE49-F238E27FC236}">
              <a16:creationId xmlns:a16="http://schemas.microsoft.com/office/drawing/2014/main" id="{E4567119-D634-460A-9B3F-A44BF908E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238125</xdr:colOff>
      <xdr:row>36</xdr:row>
      <xdr:rowOff>127000</xdr:rowOff>
    </xdr:from>
    <xdr:to>
      <xdr:col>26</xdr:col>
      <xdr:colOff>111125</xdr:colOff>
      <xdr:row>55</xdr:row>
      <xdr:rowOff>63500</xdr:rowOff>
    </xdr:to>
    <xdr:graphicFrame macro="">
      <xdr:nvGraphicFramePr>
        <xdr:cNvPr id="18" name="Chart 17">
          <a:extLst>
            <a:ext uri="{FF2B5EF4-FFF2-40B4-BE49-F238E27FC236}">
              <a16:creationId xmlns:a16="http://schemas.microsoft.com/office/drawing/2014/main" id="{22650ADB-4985-4B46-8E64-9BD6CE833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9.598412268519" createdVersion="8" refreshedVersion="8" minRefreshableVersion="3" recordCount="305" xr:uid="{7EC0F705-391E-4A3D-B896-98D61B9E3E95}">
  <cacheSource type="worksheet">
    <worksheetSource name="tbl_ProjectData"/>
  </cacheSource>
  <cacheFields count="14">
    <cacheField name="Project ID" numFmtId="0">
      <sharedItems/>
    </cacheField>
    <cacheField name="Project Name" numFmtId="0">
      <sharedItems count="305">
        <s v="Skyline Residency"/>
        <s v="Green Valley Apartments"/>
        <s v="Orchid Hospital"/>
        <s v="Metro Business Park"/>
        <s v="Grand Palace Hotel"/>
        <s v="City Centre Mall"/>
        <s v="Harmony Heights"/>
        <s v="River View Residency"/>
        <s v="Tech Square Offices"/>
        <s v="Sunrise Towers"/>
        <s v="Green Valley Apartments 011"/>
        <s v="Royal Palm Apartments 012"/>
        <s v="Skyline Apartments 013"/>
        <s v="Harmony Apartments 014"/>
        <s v="Lakeside Apartments 015"/>
        <s v="Sunrise Apartments 016"/>
        <s v="Silver Oak Apartments 017"/>
        <s v="River View Apartments 018"/>
        <s v="Golden Gate Apartments 019"/>
        <s v="Emerald Apartments 020"/>
        <s v="Green Valley Heights 021"/>
        <s v="Royal Palm Heights 022"/>
        <s v="Skyline Heights 023"/>
        <s v="Harmony Heights 024"/>
        <s v="Lakeside Heights 025"/>
        <s v="Sunrise Heights 026"/>
        <s v="Silver Oak Heights 027"/>
        <s v="River View Heights 028"/>
        <s v="Golden Gate Heights 029"/>
        <s v="Emerald Heights 030"/>
        <s v="Green Valley Towers 031"/>
        <s v="Royal Palm Towers 032"/>
        <s v="Skyline Towers 033"/>
        <s v="Harmony Towers 034"/>
        <s v="Lakeside Towers 035"/>
        <s v="Sunrise Towers 036"/>
        <s v="Silver Oak Towers 037"/>
        <s v="River View Towers 038"/>
        <s v="Golden Gate Towers 039"/>
        <s v="Emerald Towers 040"/>
        <s v="Green Valley Enclave 041"/>
        <s v="Royal Palm Enclave 042"/>
        <s v="Skyline Enclave 043"/>
        <s v="Harmony Enclave 044"/>
        <s v="Lakeside Enclave 045"/>
        <s v="Sunrise Enclave 046"/>
        <s v="Silver Oak Enclave 047"/>
        <s v="River View Enclave 048"/>
        <s v="Golden Gate Enclave 049"/>
        <s v="Emerald Enclave 050"/>
        <s v="Green Valley Business Centre 051"/>
        <s v="Royal Palm Business Centre 052"/>
        <s v="Skyline Business Centre 053"/>
        <s v="Harmony Business Centre 054"/>
        <s v="Lakeside Business Centre 055"/>
        <s v="Sunrise Business Centre 056"/>
        <s v="Silver Oak Business Centre 057"/>
        <s v="River View Business Centre 058"/>
        <s v="Golden Gate Business Centre 059"/>
        <s v="Emerald Business Centre 060"/>
        <s v="Green Valley Grand Hotel 061"/>
        <s v="Royal Palm Grand Hotel 062"/>
        <s v="Skyline Grand Hotel 063"/>
        <s v="Harmony Grand Hotel 064"/>
        <s v="Lakeside Grand Hotel 065"/>
        <s v="Sunrise Grand Hotel 066"/>
        <s v="Silver Oak Grand Hotel 067"/>
        <s v="River View Grand Hotel 068"/>
        <s v="Golden Gate Grand Hotel 069"/>
        <s v="Emerald Grand Hotel 070"/>
        <s v="Green Valley Care Hospital 071"/>
        <s v="Royal Palm Care Hospital 072"/>
        <s v="Skyline Care Hospital 073"/>
        <s v="Harmony Care Hospital 074"/>
        <s v="Lakeside Care Hospital 075"/>
        <s v="Sunrise Care Hospital 076"/>
        <s v="Silver Oak Care Hospital 077"/>
        <s v="River View Care Hospital 078"/>
        <s v="Golden Gate Care Hospital 079"/>
        <s v="Emerald Care Hospital 080"/>
        <s v="Green Valley Residency 081"/>
        <s v="Royal Palm Residency 082"/>
        <s v="Skyline Residency 083"/>
        <s v="Harmony Residency 084"/>
        <s v="Lakeside Residency 085"/>
        <s v="Sunrise Residency 086"/>
        <s v="Silver Oak Residency 087"/>
        <s v="River View Residency 088"/>
        <s v="Golden Gate Residency 089"/>
        <s v="Emerald Residency 090"/>
        <s v="Green Valley Apartments 091"/>
        <s v="Royal Palm Apartments 092"/>
        <s v="Skyline Apartments 093"/>
        <s v="Harmony Apartments 094"/>
        <s v="Lakeside Apartments 095"/>
        <s v="Sunrise Apartments 096"/>
        <s v="Silver Oak Apartments 097"/>
        <s v="River View Apartments 098"/>
        <s v="Golden Gate Apartments 099"/>
        <s v="Emerald Apartments 100"/>
        <s v="Green Valley Heights 101"/>
        <s v="Royal Palm Heights 102"/>
        <s v="Skyline Heights 103"/>
        <s v="Harmony Heights 104"/>
        <s v="Lakeside Heights 105"/>
        <s v="Sunrise Heights 106"/>
        <s v="Silver Oak Heights 107"/>
        <s v="River View Heights 108"/>
        <s v="Golden Gate Heights 109"/>
        <s v="Emerald Heights 110"/>
        <s v="Green Valley Towers 111"/>
        <s v="Royal Palm Towers 112"/>
        <s v="Skyline Towers 113"/>
        <s v="Harmony Towers 114"/>
        <s v="Lakeside Towers 115"/>
        <s v="Sunrise Towers 116"/>
        <s v="Silver Oak Towers 117"/>
        <s v="River View Towers 118"/>
        <s v="Golden Gate Towers 119"/>
        <s v="Emerald Towers 120"/>
        <s v="Green Valley Enclave 121"/>
        <s v="Royal Palm Enclave 122"/>
        <s v="Skyline Enclave 123"/>
        <s v="Harmony Enclave 124"/>
        <s v="Lakeside Enclave 125"/>
        <s v="Sunrise Enclave 126"/>
        <s v="Silver Oak Enclave 127"/>
        <s v="River View Enclave 128"/>
        <s v="Golden Gate Enclave 129"/>
        <s v="Emerald Enclave 130"/>
        <s v="Green Valley Business Centre 131"/>
        <s v="Royal Palm Business Centre 132"/>
        <s v="Skyline Business Centre 133"/>
        <s v="Harmony Business Centre 134"/>
        <s v="Lakeside Business Centre 135"/>
        <s v="Sunrise Business Centre 136"/>
        <s v="Silver Oak Business Centre 137"/>
        <s v="River View Business Centre 138"/>
        <s v="Golden Gate Business Centre 139"/>
        <s v="Emerald Business Centre 140"/>
        <s v="Green Valley Grand Hotel 141"/>
        <s v="Royal Palm Grand Hotel 142"/>
        <s v="Skyline Grand Hotel 143"/>
        <s v="Harmony Grand Hotel 144"/>
        <s v="Lakeside Grand Hotel 145"/>
        <s v="Sunrise Grand Hotel 146"/>
        <s v="Silver Oak Grand Hotel 147"/>
        <s v="River View Grand Hotel 148"/>
        <s v="Golden Gate Grand Hotel 149"/>
        <s v="Emerald Grand Hotel 150"/>
        <s v="Green Valley Care Hospital 151"/>
        <s v="Royal Palm Care Hospital 152"/>
        <s v="Skyline Care Hospital 153"/>
        <s v="Harmony Care Hospital 154"/>
        <s v="Lakeside Care Hospital 155"/>
        <s v="Sunrise Care Hospital 156"/>
        <s v="Silver Oak Care Hospital 157"/>
        <s v="River View Care Hospital 158"/>
        <s v="Golden Gate Care Hospital 159"/>
        <s v="Emerald Care Hospital 160"/>
        <s v="Green Valley Residency 161"/>
        <s v="Royal Palm Residency 162"/>
        <s v="Skyline Residency 163"/>
        <s v="Harmony Residency 164"/>
        <s v="Lakeside Residency 165"/>
        <s v="Sunrise Residency 166"/>
        <s v="Silver Oak Residency 167"/>
        <s v="River View Residency 168"/>
        <s v="Golden Gate Residency 169"/>
        <s v="Emerald Residency 170"/>
        <s v="Green Valley Apartments 171"/>
        <s v="Royal Palm Apartments 172"/>
        <s v="Skyline Apartments 173"/>
        <s v="Harmony Apartments 174"/>
        <s v="Lakeside Apartments 175"/>
        <s v="Sunrise Apartments 176"/>
        <s v="Silver Oak Apartments 177"/>
        <s v="River View Apartments 178"/>
        <s v="Golden Gate Apartments 179"/>
        <s v="Emerald Apartments 180"/>
        <s v="Green Valley Heights 181"/>
        <s v="Royal Palm Heights 182"/>
        <s v="Skyline Heights 183"/>
        <s v="Harmony Heights 184"/>
        <s v="Lakeside Heights 185"/>
        <s v="Sunrise Heights 186"/>
        <s v="Silver Oak Heights 187"/>
        <s v="River View Heights 188"/>
        <s v="Golden Gate Heights 189"/>
        <s v="Emerald Heights 190"/>
        <s v="Green Valley Towers 191"/>
        <s v="Royal Palm Towers 192"/>
        <s v="Skyline Towers 193"/>
        <s v="Harmony Towers 194"/>
        <s v="Lakeside Towers 195"/>
        <s v="Sunrise Towers 196"/>
        <s v="Silver Oak Towers 197"/>
        <s v="River View Towers 198"/>
        <s v="Golden Gate Towers 199"/>
        <s v="Emerald Towers 200"/>
        <s v="Green Valley Enclave 201"/>
        <s v="Royal Palm Enclave 202"/>
        <s v="Skyline Enclave 203"/>
        <s v="Harmony Enclave 204"/>
        <s v="Lakeside Enclave 205"/>
        <s v="Sunrise Enclave 206"/>
        <s v="Silver Oak Enclave 207"/>
        <s v="River View Enclave 208"/>
        <s v="Golden Gate Enclave 209"/>
        <s v="Emerald Enclave 210"/>
        <s v="Green Valley Business Centre 211"/>
        <s v="Royal Palm Business Centre 212"/>
        <s v="Skyline Business Centre 213"/>
        <s v="Harmony Business Centre 214"/>
        <s v="Lakeside Business Centre 215"/>
        <s v="Sunrise Business Centre 216"/>
        <s v="Silver Oak Business Centre 217"/>
        <s v="River View Business Centre 218"/>
        <s v="Golden Gate Business Centre 219"/>
        <s v="Emerald Business Centre 220"/>
        <s v="Green Valley Grand Hotel 221"/>
        <s v="Royal Palm Grand Hotel 222"/>
        <s v="Skyline Grand Hotel 223"/>
        <s v="Harmony Grand Hotel 224"/>
        <s v="Lakeside Grand Hotel 225"/>
        <s v="Sunrise Grand Hotel 226"/>
        <s v="Silver Oak Grand Hotel 227"/>
        <s v="River View Grand Hotel 228"/>
        <s v="Golden Gate Grand Hotel 229"/>
        <s v="Emerald Grand Hotel 230"/>
        <s v="Green Valley Care Hospital 231"/>
        <s v="Royal Palm Care Hospital 232"/>
        <s v="Skyline Care Hospital 233"/>
        <s v="Harmony Care Hospital 234"/>
        <s v="Lakeside Care Hospital 235"/>
        <s v="Sunrise Care Hospital 236"/>
        <s v="Silver Oak Care Hospital 237"/>
        <s v="River View Care Hospital 238"/>
        <s v="Golden Gate Care Hospital 239"/>
        <s v="Emerald Care Hospital 240"/>
        <s v="Green Valley Residency 241"/>
        <s v="Royal Palm Residency 242"/>
        <s v="Skyline Residency 243"/>
        <s v="Harmony Residency 244"/>
        <s v="Lakeside Residency 245"/>
        <s v="Sunrise Residency 246"/>
        <s v="Silver Oak Residency 247"/>
        <s v="River View Residency 248"/>
        <s v="Golden Gate Residency 249"/>
        <s v="Emerald Residency 250"/>
        <s v="Green Valley Apartments 251"/>
        <s v="Royal Palm Apartments 252"/>
        <s v="Skyline Apartments 253"/>
        <s v="Harmony Apartments 254"/>
        <s v="Lakeside Apartments 255"/>
        <s v="Sunrise Apartments 256"/>
        <s v="Silver Oak Apartments 257"/>
        <s v="River View Apartments 258"/>
        <s v="Golden Gate Apartments 259"/>
        <s v="Emerald Apartments 260"/>
        <s v="Green Valley Heights 261"/>
        <s v="Royal Palm Heights 262"/>
        <s v="Skyline Heights 263"/>
        <s v="Harmony Heights 264"/>
        <s v="Lakeside Heights 265"/>
        <s v="Sunrise Heights 266"/>
        <s v="Silver Oak Heights 267"/>
        <s v="River View Heights 268"/>
        <s v="Golden Gate Heights 269"/>
        <s v="Emerald Heights 270"/>
        <s v="Green Valley Towers 271"/>
        <s v="Royal Palm Towers 272"/>
        <s v="Skyline Towers 273"/>
        <s v="Harmony Towers 274"/>
        <s v="Lakeside Towers 275"/>
        <s v="Sunrise Towers 276"/>
        <s v="Silver Oak Towers 277"/>
        <s v="River View Towers 278"/>
        <s v="Golden Gate Towers 279"/>
        <s v="Emerald Towers 280"/>
        <s v="Green Valley Enclave 281"/>
        <s v="Royal Palm Enclave 282"/>
        <s v="Skyline Enclave 283"/>
        <s v="Harmony Enclave 284"/>
        <s v="Lakeside Enclave 285"/>
        <s v="Sunrise Enclave 286"/>
        <s v="Silver Oak Enclave 287"/>
        <s v="River View Enclave 288"/>
        <s v="Golden Gate Enclave 289"/>
        <s v="Emerald Enclave 290"/>
        <s v="Green Valley Business Centre 291"/>
        <s v="Royal Palm Business Centre 292"/>
        <s v="Skyline Business Centre 293"/>
        <s v="Harmony Business Centre 294"/>
        <s v="Lakeside Business Centre 295"/>
        <s v="Sunrise Business Centre 296"/>
        <s v="Silver Oak Business Centre 297"/>
        <s v="River View Business Centre 298"/>
        <s v="Golden Gate Business Centre 299"/>
        <s v="Emerald Business Centre 300"/>
        <s v="Tech Park Tower 301"/>
        <s v="Lake View Hospital 302"/>
        <s v="Green Valley Hotel 303"/>
        <s v="Sunrise Apartments 304"/>
        <s v="Metro Office Complex 305"/>
      </sharedItems>
    </cacheField>
    <cacheField name="Region" numFmtId="0">
      <sharedItems count="3">
        <s v="Central Kerala"/>
        <s v="South Kerala"/>
        <s v="North Kerala"/>
      </sharedItems>
    </cacheField>
    <cacheField name="City" numFmtId="0">
      <sharedItems count="12">
        <s v="Kochi"/>
        <s v="Trivandrum"/>
        <s v="Thrissur"/>
        <s v="Kollam"/>
        <s v="Kozhikode"/>
        <s v="Kannur"/>
        <s v="Idukki"/>
        <s v="Alappuzha"/>
        <s v="Pathanamthitta"/>
        <s v="Kasaragod"/>
        <s v="Wayanad"/>
        <s v="Ernakulam"/>
      </sharedItems>
    </cacheField>
    <cacheField name="Customer Type" numFmtId="0">
      <sharedItems count="7">
        <s v="Residential"/>
        <s v="Apartment"/>
        <s v="Hospital"/>
        <s v="Office"/>
        <s v="Hotel"/>
        <s v="Shopping Mall"/>
        <s v="Commercial"/>
      </sharedItems>
    </cacheField>
    <cacheField name="Project Value (₹  Lakhs)" numFmtId="164">
      <sharedItems containsSemiMixedTypes="0" containsString="0" containsNumber="1" containsInteger="1" minValue="18" maxValue="72"/>
    </cacheField>
    <cacheField name="Start Date" numFmtId="165">
      <sharedItems containsSemiMixedTypes="0" containsNonDate="0" containsDate="1" containsString="0" minDate="2026-01-01T00:00:00" maxDate="2026-09-19T00:00:00"/>
    </cacheField>
    <cacheField name="Planned Completion" numFmtId="165">
      <sharedItems containsSemiMixedTypes="0" containsNonDate="0" containsDate="1" containsString="0" minDate="2026-04-01T00:00:00" maxDate="2027-01-25T00:00:00"/>
    </cacheField>
    <cacheField name="Actual Completion" numFmtId="165">
      <sharedItems containsDate="1" containsBlank="1" containsMixedTypes="1" minDate="2026-03-27T00:00:00" maxDate="2027-01-30T00:00:00"/>
    </cacheField>
    <cacheField name="Delay (Days)" numFmtId="0">
      <sharedItems containsMixedTypes="1" containsNumber="1" containsInteger="1" minValue="-5" maxValue="10"/>
    </cacheField>
    <cacheField name="Installation Stage" numFmtId="0">
      <sharedItems count="6">
        <s v="Handover"/>
        <s v="Installation Started"/>
        <s v="Material Delivered"/>
        <s v="Material Ordered"/>
        <s v="Testing &amp; Commissioning"/>
        <s v="Mechanical Completion"/>
      </sharedItems>
    </cacheField>
    <cacheField name="Status" numFmtId="0">
      <sharedItems count="2">
        <s v="Completed"/>
        <s v="In Progress"/>
      </sharedItems>
    </cacheField>
    <cacheField name="Handover Status" numFmtId="0">
      <sharedItems count="2">
        <s v="Completed"/>
        <s v="Pending"/>
      </sharedItems>
    </cacheField>
    <cacheField name="Delay Status" numFmtId="0">
      <sharedItems count="4">
        <s v="Early"/>
        <s v="Delayed"/>
        <s v="In Progress"/>
        <s v="On Time"/>
      </sharedItems>
    </cacheField>
  </cacheFields>
  <extLst>
    <ext xmlns:x14="http://schemas.microsoft.com/office/spreadsheetml/2009/9/main" uri="{725AE2AE-9491-48be-B2B4-4EB974FC3084}">
      <x14:pivotCacheDefinition pivotCacheId="181658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s v="PRJ001"/>
    <x v="0"/>
    <x v="0"/>
    <x v="0"/>
    <x v="0"/>
    <n v="18"/>
    <d v="2026-01-02T00:00:00"/>
    <d v="2026-04-15T00:00:00"/>
    <d v="2026-04-12T00:00:00"/>
    <n v="-3"/>
    <x v="0"/>
    <x v="0"/>
    <x v="0"/>
    <x v="0"/>
  </r>
  <r>
    <s v="PRJ002"/>
    <x v="1"/>
    <x v="0"/>
    <x v="0"/>
    <x v="1"/>
    <n v="24"/>
    <d v="2026-01-10T00:00:00"/>
    <d v="2026-05-25T00:00:00"/>
    <d v="2026-05-30T00:00:00"/>
    <n v="5"/>
    <x v="0"/>
    <x v="0"/>
    <x v="0"/>
    <x v="1"/>
  </r>
  <r>
    <s v="PRJ003"/>
    <x v="2"/>
    <x v="1"/>
    <x v="1"/>
    <x v="2"/>
    <n v="42"/>
    <d v="2026-01-18T00:00:00"/>
    <d v="2026-06-30T00:00:00"/>
    <d v="2026-06-28T00:00:00"/>
    <n v="-2"/>
    <x v="0"/>
    <x v="0"/>
    <x v="0"/>
    <x v="0"/>
  </r>
  <r>
    <s v="PRJ004"/>
    <x v="3"/>
    <x v="0"/>
    <x v="0"/>
    <x v="3"/>
    <n v="65"/>
    <d v="2026-02-01T00:00:00"/>
    <d v="2026-07-30T00:00:00"/>
    <m/>
    <s v=""/>
    <x v="1"/>
    <x v="1"/>
    <x v="1"/>
    <x v="2"/>
  </r>
  <r>
    <s v="PRJ005"/>
    <x v="4"/>
    <x v="0"/>
    <x v="2"/>
    <x v="4"/>
    <n v="38"/>
    <d v="2026-02-08T00:00:00"/>
    <d v="2026-06-15T00:00:00"/>
    <d v="2026-06-22T00:00:00"/>
    <n v="7"/>
    <x v="0"/>
    <x v="0"/>
    <x v="0"/>
    <x v="1"/>
  </r>
  <r>
    <s v="PRJ006"/>
    <x v="5"/>
    <x v="0"/>
    <x v="0"/>
    <x v="5"/>
    <n v="55"/>
    <d v="2026-02-15T00:00:00"/>
    <d v="2026-08-30T00:00:00"/>
    <m/>
    <s v=""/>
    <x v="2"/>
    <x v="1"/>
    <x v="1"/>
    <x v="2"/>
  </r>
  <r>
    <s v="PRJ007"/>
    <x v="6"/>
    <x v="1"/>
    <x v="3"/>
    <x v="0"/>
    <n v="27"/>
    <d v="2026-01-20T00:00:00"/>
    <d v="2026-05-20T00:00:00"/>
    <d v="2026-05-18T00:00:00"/>
    <n v="-2"/>
    <x v="0"/>
    <x v="0"/>
    <x v="0"/>
    <x v="0"/>
  </r>
  <r>
    <s v="PRJ008"/>
    <x v="7"/>
    <x v="2"/>
    <x v="4"/>
    <x v="0"/>
    <n v="21"/>
    <d v="2026-03-05T00:00:00"/>
    <d v="2026-06-30T00:00:00"/>
    <d v="2026-07-05T00:00:00"/>
    <n v="5"/>
    <x v="0"/>
    <x v="0"/>
    <x v="0"/>
    <x v="1"/>
  </r>
  <r>
    <s v="PRJ009"/>
    <x v="8"/>
    <x v="0"/>
    <x v="0"/>
    <x v="3"/>
    <n v="48"/>
    <d v="2026-02-12T00:00:00"/>
    <d v="2026-07-15T00:00:00"/>
    <d v="2026-07-14T00:00:00"/>
    <n v="-1"/>
    <x v="0"/>
    <x v="0"/>
    <x v="0"/>
    <x v="0"/>
  </r>
  <r>
    <s v="PRJ010"/>
    <x v="9"/>
    <x v="2"/>
    <x v="5"/>
    <x v="6"/>
    <n v="32"/>
    <d v="2026-04-01T00:00:00"/>
    <d v="2026-09-30T00:00:00"/>
    <m/>
    <s v=""/>
    <x v="3"/>
    <x v="1"/>
    <x v="1"/>
    <x v="2"/>
  </r>
  <r>
    <s v="PRJ011"/>
    <x v="10"/>
    <x v="0"/>
    <x v="6"/>
    <x v="4"/>
    <n v="18"/>
    <d v="2026-01-01T00:00:00"/>
    <d v="2026-04-01T00:00:00"/>
    <d v="2026-03-27T00:00:00"/>
    <n v="-5"/>
    <x v="4"/>
    <x v="1"/>
    <x v="1"/>
    <x v="0"/>
  </r>
  <r>
    <s v="PRJ012"/>
    <x v="11"/>
    <x v="1"/>
    <x v="7"/>
    <x v="6"/>
    <n v="24"/>
    <d v="2026-01-08T00:00:00"/>
    <d v="2026-05-08T00:00:00"/>
    <d v="2026-05-08T00:00:00"/>
    <n v="0"/>
    <x v="0"/>
    <x v="0"/>
    <x v="0"/>
    <x v="3"/>
  </r>
  <r>
    <s v="PRJ013"/>
    <x v="12"/>
    <x v="2"/>
    <x v="5"/>
    <x v="0"/>
    <n v="42"/>
    <d v="2026-01-15T00:00:00"/>
    <d v="2026-06-14T00:00:00"/>
    <s v=""/>
    <s v=""/>
    <x v="3"/>
    <x v="1"/>
    <x v="1"/>
    <x v="2"/>
  </r>
  <r>
    <s v="PRJ014"/>
    <x v="13"/>
    <x v="0"/>
    <x v="2"/>
    <x v="1"/>
    <n v="65"/>
    <d v="2026-01-22T00:00:00"/>
    <d v="2026-07-21T00:00:00"/>
    <d v="2026-07-19T00:00:00"/>
    <n v="-2"/>
    <x v="2"/>
    <x v="1"/>
    <x v="1"/>
    <x v="0"/>
  </r>
  <r>
    <s v="PRJ015"/>
    <x v="14"/>
    <x v="1"/>
    <x v="8"/>
    <x v="2"/>
    <n v="38"/>
    <d v="2026-01-29T00:00:00"/>
    <d v="2026-08-27T00:00:00"/>
    <d v="2026-09-06T00:00:00"/>
    <n v="10"/>
    <x v="1"/>
    <x v="1"/>
    <x v="1"/>
    <x v="1"/>
  </r>
  <r>
    <s v="PRJ016"/>
    <x v="15"/>
    <x v="2"/>
    <x v="9"/>
    <x v="3"/>
    <n v="55"/>
    <d v="2026-02-05T00:00:00"/>
    <d v="2026-05-06T00:00:00"/>
    <d v="2026-05-01T00:00:00"/>
    <n v="-5"/>
    <x v="5"/>
    <x v="1"/>
    <x v="1"/>
    <x v="0"/>
  </r>
  <r>
    <s v="PRJ017"/>
    <x v="16"/>
    <x v="0"/>
    <x v="6"/>
    <x v="4"/>
    <n v="27"/>
    <d v="2026-02-12T00:00:00"/>
    <d v="2026-06-12T00:00:00"/>
    <s v=""/>
    <s v=""/>
    <x v="4"/>
    <x v="1"/>
    <x v="1"/>
    <x v="2"/>
  </r>
  <r>
    <s v="PRJ018"/>
    <x v="17"/>
    <x v="1"/>
    <x v="3"/>
    <x v="6"/>
    <n v="21"/>
    <d v="2026-02-19T00:00:00"/>
    <d v="2026-07-19T00:00:00"/>
    <d v="2026-07-26T00:00:00"/>
    <n v="7"/>
    <x v="0"/>
    <x v="0"/>
    <x v="0"/>
    <x v="1"/>
  </r>
  <r>
    <s v="PRJ019"/>
    <x v="18"/>
    <x v="2"/>
    <x v="10"/>
    <x v="0"/>
    <n v="48"/>
    <d v="2026-02-26T00:00:00"/>
    <d v="2026-08-25T00:00:00"/>
    <d v="2026-08-23T00:00:00"/>
    <n v="-2"/>
    <x v="3"/>
    <x v="1"/>
    <x v="1"/>
    <x v="0"/>
  </r>
  <r>
    <s v="PRJ020"/>
    <x v="19"/>
    <x v="0"/>
    <x v="2"/>
    <x v="1"/>
    <n v="32"/>
    <d v="2026-03-05T00:00:00"/>
    <d v="2026-10-01T00:00:00"/>
    <d v="2026-10-11T00:00:00"/>
    <n v="10"/>
    <x v="2"/>
    <x v="1"/>
    <x v="1"/>
    <x v="1"/>
  </r>
  <r>
    <s v="PRJ021"/>
    <x v="20"/>
    <x v="1"/>
    <x v="1"/>
    <x v="2"/>
    <n v="18"/>
    <d v="2026-03-12T00:00:00"/>
    <d v="2026-06-10T00:00:00"/>
    <s v=""/>
    <s v=""/>
    <x v="1"/>
    <x v="1"/>
    <x v="1"/>
    <x v="2"/>
  </r>
  <r>
    <s v="PRJ022"/>
    <x v="21"/>
    <x v="2"/>
    <x v="4"/>
    <x v="3"/>
    <n v="24"/>
    <d v="2026-03-19T00:00:00"/>
    <d v="2026-07-17T00:00:00"/>
    <d v="2026-07-17T00:00:00"/>
    <n v="0"/>
    <x v="5"/>
    <x v="1"/>
    <x v="1"/>
    <x v="3"/>
  </r>
  <r>
    <s v="PRJ023"/>
    <x v="22"/>
    <x v="0"/>
    <x v="6"/>
    <x v="4"/>
    <n v="42"/>
    <d v="2026-03-26T00:00:00"/>
    <d v="2026-08-23T00:00:00"/>
    <d v="2026-08-30T00:00:00"/>
    <n v="7"/>
    <x v="4"/>
    <x v="1"/>
    <x v="1"/>
    <x v="1"/>
  </r>
  <r>
    <s v="PRJ024"/>
    <x v="23"/>
    <x v="1"/>
    <x v="7"/>
    <x v="6"/>
    <n v="65"/>
    <d v="2026-04-02T00:00:00"/>
    <d v="2026-09-29T00:00:00"/>
    <d v="2026-09-27T00:00:00"/>
    <n v="-2"/>
    <x v="0"/>
    <x v="0"/>
    <x v="0"/>
    <x v="0"/>
  </r>
  <r>
    <s v="PRJ025"/>
    <x v="24"/>
    <x v="2"/>
    <x v="5"/>
    <x v="0"/>
    <n v="38"/>
    <d v="2026-04-09T00:00:00"/>
    <d v="2026-11-05T00:00:00"/>
    <s v=""/>
    <s v=""/>
    <x v="3"/>
    <x v="1"/>
    <x v="1"/>
    <x v="2"/>
  </r>
  <r>
    <s v="PRJ026"/>
    <x v="25"/>
    <x v="0"/>
    <x v="2"/>
    <x v="1"/>
    <n v="55"/>
    <d v="2026-04-16T00:00:00"/>
    <d v="2026-07-15T00:00:00"/>
    <d v="2026-07-10T00:00:00"/>
    <n v="-5"/>
    <x v="2"/>
    <x v="1"/>
    <x v="1"/>
    <x v="0"/>
  </r>
  <r>
    <s v="PRJ027"/>
    <x v="26"/>
    <x v="1"/>
    <x v="8"/>
    <x v="2"/>
    <n v="27"/>
    <d v="2026-04-23T00:00:00"/>
    <d v="2026-08-21T00:00:00"/>
    <d v="2026-08-21T00:00:00"/>
    <n v="0"/>
    <x v="1"/>
    <x v="1"/>
    <x v="1"/>
    <x v="3"/>
  </r>
  <r>
    <s v="PRJ028"/>
    <x v="27"/>
    <x v="2"/>
    <x v="9"/>
    <x v="3"/>
    <n v="21"/>
    <d v="2026-04-30T00:00:00"/>
    <d v="2026-09-27T00:00:00"/>
    <d v="2026-10-04T00:00:00"/>
    <n v="7"/>
    <x v="5"/>
    <x v="1"/>
    <x v="1"/>
    <x v="1"/>
  </r>
  <r>
    <s v="PRJ029"/>
    <x v="28"/>
    <x v="0"/>
    <x v="6"/>
    <x v="4"/>
    <n v="48"/>
    <d v="2026-05-07T00:00:00"/>
    <d v="2026-11-03T00:00:00"/>
    <s v=""/>
    <s v=""/>
    <x v="4"/>
    <x v="1"/>
    <x v="1"/>
    <x v="2"/>
  </r>
  <r>
    <s v="PRJ030"/>
    <x v="29"/>
    <x v="1"/>
    <x v="3"/>
    <x v="6"/>
    <n v="32"/>
    <d v="2026-05-14T00:00:00"/>
    <d v="2026-12-10T00:00:00"/>
    <d v="2026-12-20T00:00:00"/>
    <n v="10"/>
    <x v="0"/>
    <x v="0"/>
    <x v="0"/>
    <x v="1"/>
  </r>
  <r>
    <s v="PRJ031"/>
    <x v="30"/>
    <x v="2"/>
    <x v="10"/>
    <x v="0"/>
    <n v="18"/>
    <d v="2026-05-21T00:00:00"/>
    <d v="2026-08-19T00:00:00"/>
    <d v="2026-08-14T00:00:00"/>
    <n v="-5"/>
    <x v="3"/>
    <x v="1"/>
    <x v="1"/>
    <x v="0"/>
  </r>
  <r>
    <s v="PRJ032"/>
    <x v="31"/>
    <x v="0"/>
    <x v="2"/>
    <x v="1"/>
    <n v="24"/>
    <d v="2026-05-28T00:00:00"/>
    <d v="2026-09-25T00:00:00"/>
    <d v="2026-09-25T00:00:00"/>
    <n v="0"/>
    <x v="2"/>
    <x v="1"/>
    <x v="1"/>
    <x v="3"/>
  </r>
  <r>
    <s v="PRJ033"/>
    <x v="32"/>
    <x v="1"/>
    <x v="1"/>
    <x v="2"/>
    <n v="42"/>
    <d v="2026-06-04T00:00:00"/>
    <d v="2026-11-01T00:00:00"/>
    <s v=""/>
    <s v=""/>
    <x v="1"/>
    <x v="1"/>
    <x v="1"/>
    <x v="2"/>
  </r>
  <r>
    <s v="PRJ034"/>
    <x v="33"/>
    <x v="2"/>
    <x v="4"/>
    <x v="3"/>
    <n v="65"/>
    <d v="2026-06-11T00:00:00"/>
    <d v="2026-12-08T00:00:00"/>
    <d v="2026-12-06T00:00:00"/>
    <n v="-2"/>
    <x v="5"/>
    <x v="1"/>
    <x v="1"/>
    <x v="0"/>
  </r>
  <r>
    <s v="PRJ035"/>
    <x v="34"/>
    <x v="0"/>
    <x v="6"/>
    <x v="4"/>
    <n v="38"/>
    <d v="2026-06-18T00:00:00"/>
    <d v="2027-01-14T00:00:00"/>
    <d v="2027-01-24T00:00:00"/>
    <n v="10"/>
    <x v="4"/>
    <x v="1"/>
    <x v="1"/>
    <x v="1"/>
  </r>
  <r>
    <s v="PRJ036"/>
    <x v="35"/>
    <x v="1"/>
    <x v="7"/>
    <x v="6"/>
    <n v="55"/>
    <d v="2026-06-25T00:00:00"/>
    <d v="2026-09-23T00:00:00"/>
    <d v="2026-09-18T00:00:00"/>
    <n v="-5"/>
    <x v="0"/>
    <x v="0"/>
    <x v="0"/>
    <x v="0"/>
  </r>
  <r>
    <s v="PRJ037"/>
    <x v="36"/>
    <x v="2"/>
    <x v="5"/>
    <x v="0"/>
    <n v="27"/>
    <d v="2026-01-03T00:00:00"/>
    <d v="2026-05-03T00:00:00"/>
    <s v=""/>
    <s v=""/>
    <x v="3"/>
    <x v="1"/>
    <x v="1"/>
    <x v="2"/>
  </r>
  <r>
    <s v="PRJ038"/>
    <x v="37"/>
    <x v="0"/>
    <x v="2"/>
    <x v="1"/>
    <n v="21"/>
    <d v="2026-01-10T00:00:00"/>
    <d v="2026-06-09T00:00:00"/>
    <d v="2026-06-16T00:00:00"/>
    <n v="7"/>
    <x v="2"/>
    <x v="1"/>
    <x v="1"/>
    <x v="1"/>
  </r>
  <r>
    <s v="PRJ039"/>
    <x v="38"/>
    <x v="1"/>
    <x v="8"/>
    <x v="2"/>
    <n v="48"/>
    <d v="2026-01-17T00:00:00"/>
    <d v="2026-07-16T00:00:00"/>
    <d v="2026-07-14T00:00:00"/>
    <n v="-2"/>
    <x v="1"/>
    <x v="1"/>
    <x v="1"/>
    <x v="0"/>
  </r>
  <r>
    <s v="PRJ040"/>
    <x v="39"/>
    <x v="2"/>
    <x v="9"/>
    <x v="3"/>
    <n v="32"/>
    <d v="2026-01-24T00:00:00"/>
    <d v="2026-08-22T00:00:00"/>
    <d v="2026-09-01T00:00:00"/>
    <n v="10"/>
    <x v="5"/>
    <x v="1"/>
    <x v="1"/>
    <x v="1"/>
  </r>
  <r>
    <s v="PRJ041"/>
    <x v="40"/>
    <x v="0"/>
    <x v="6"/>
    <x v="4"/>
    <n v="18"/>
    <d v="2026-01-31T00:00:00"/>
    <d v="2026-05-01T00:00:00"/>
    <s v=""/>
    <s v=""/>
    <x v="4"/>
    <x v="1"/>
    <x v="1"/>
    <x v="2"/>
  </r>
  <r>
    <s v="PRJ042"/>
    <x v="41"/>
    <x v="1"/>
    <x v="3"/>
    <x v="6"/>
    <n v="24"/>
    <d v="2026-02-07T00:00:00"/>
    <d v="2026-06-07T00:00:00"/>
    <d v="2026-06-07T00:00:00"/>
    <n v="0"/>
    <x v="0"/>
    <x v="0"/>
    <x v="0"/>
    <x v="3"/>
  </r>
  <r>
    <s v="PRJ043"/>
    <x v="42"/>
    <x v="2"/>
    <x v="10"/>
    <x v="0"/>
    <n v="42"/>
    <d v="2026-02-14T00:00:00"/>
    <d v="2026-07-14T00:00:00"/>
    <d v="2026-07-21T00:00:00"/>
    <n v="7"/>
    <x v="3"/>
    <x v="1"/>
    <x v="1"/>
    <x v="1"/>
  </r>
  <r>
    <s v="PRJ044"/>
    <x v="43"/>
    <x v="0"/>
    <x v="2"/>
    <x v="1"/>
    <n v="65"/>
    <d v="2026-02-21T00:00:00"/>
    <d v="2026-08-20T00:00:00"/>
    <d v="2026-08-18T00:00:00"/>
    <n v="-2"/>
    <x v="2"/>
    <x v="1"/>
    <x v="1"/>
    <x v="0"/>
  </r>
  <r>
    <s v="PRJ045"/>
    <x v="44"/>
    <x v="1"/>
    <x v="1"/>
    <x v="2"/>
    <n v="38"/>
    <d v="2026-02-28T00:00:00"/>
    <d v="2026-09-26T00:00:00"/>
    <s v=""/>
    <s v=""/>
    <x v="1"/>
    <x v="1"/>
    <x v="1"/>
    <x v="2"/>
  </r>
  <r>
    <s v="PRJ046"/>
    <x v="45"/>
    <x v="2"/>
    <x v="4"/>
    <x v="3"/>
    <n v="55"/>
    <d v="2026-03-07T00:00:00"/>
    <d v="2026-06-05T00:00:00"/>
    <d v="2026-05-31T00:00:00"/>
    <n v="-5"/>
    <x v="5"/>
    <x v="1"/>
    <x v="1"/>
    <x v="0"/>
  </r>
  <r>
    <s v="PRJ047"/>
    <x v="46"/>
    <x v="0"/>
    <x v="6"/>
    <x v="4"/>
    <n v="27"/>
    <d v="2026-03-14T00:00:00"/>
    <d v="2026-07-12T00:00:00"/>
    <d v="2026-07-12T00:00:00"/>
    <n v="0"/>
    <x v="4"/>
    <x v="1"/>
    <x v="1"/>
    <x v="3"/>
  </r>
  <r>
    <s v="PRJ048"/>
    <x v="47"/>
    <x v="1"/>
    <x v="7"/>
    <x v="6"/>
    <n v="21"/>
    <d v="2026-03-21T00:00:00"/>
    <d v="2026-08-18T00:00:00"/>
    <d v="2026-08-25T00:00:00"/>
    <n v="7"/>
    <x v="0"/>
    <x v="0"/>
    <x v="0"/>
    <x v="1"/>
  </r>
  <r>
    <s v="PRJ049"/>
    <x v="48"/>
    <x v="2"/>
    <x v="5"/>
    <x v="0"/>
    <n v="48"/>
    <d v="2026-03-28T00:00:00"/>
    <d v="2026-09-24T00:00:00"/>
    <s v=""/>
    <s v=""/>
    <x v="3"/>
    <x v="1"/>
    <x v="1"/>
    <x v="2"/>
  </r>
  <r>
    <s v="PRJ050"/>
    <x v="49"/>
    <x v="0"/>
    <x v="2"/>
    <x v="1"/>
    <n v="32"/>
    <d v="2026-04-04T00:00:00"/>
    <d v="2026-10-31T00:00:00"/>
    <d v="2026-11-10T00:00:00"/>
    <n v="10"/>
    <x v="2"/>
    <x v="1"/>
    <x v="1"/>
    <x v="1"/>
  </r>
  <r>
    <s v="PRJ051"/>
    <x v="50"/>
    <x v="1"/>
    <x v="8"/>
    <x v="2"/>
    <n v="18"/>
    <d v="2026-04-11T00:00:00"/>
    <d v="2026-07-10T00:00:00"/>
    <d v="2026-07-05T00:00:00"/>
    <n v="-5"/>
    <x v="1"/>
    <x v="1"/>
    <x v="1"/>
    <x v="0"/>
  </r>
  <r>
    <s v="PRJ052"/>
    <x v="51"/>
    <x v="2"/>
    <x v="9"/>
    <x v="3"/>
    <n v="24"/>
    <d v="2026-04-18T00:00:00"/>
    <d v="2026-08-16T00:00:00"/>
    <d v="2026-08-16T00:00:00"/>
    <n v="0"/>
    <x v="5"/>
    <x v="1"/>
    <x v="1"/>
    <x v="3"/>
  </r>
  <r>
    <s v="PRJ053"/>
    <x v="52"/>
    <x v="0"/>
    <x v="6"/>
    <x v="4"/>
    <n v="42"/>
    <d v="2026-04-25T00:00:00"/>
    <d v="2026-09-22T00:00:00"/>
    <s v=""/>
    <s v=""/>
    <x v="4"/>
    <x v="1"/>
    <x v="1"/>
    <x v="2"/>
  </r>
  <r>
    <s v="PRJ054"/>
    <x v="53"/>
    <x v="1"/>
    <x v="3"/>
    <x v="6"/>
    <n v="65"/>
    <d v="2026-05-02T00:00:00"/>
    <d v="2026-10-29T00:00:00"/>
    <d v="2026-10-27T00:00:00"/>
    <n v="-2"/>
    <x v="0"/>
    <x v="0"/>
    <x v="0"/>
    <x v="0"/>
  </r>
  <r>
    <s v="PRJ055"/>
    <x v="54"/>
    <x v="2"/>
    <x v="10"/>
    <x v="0"/>
    <n v="38"/>
    <d v="2026-05-09T00:00:00"/>
    <d v="2026-12-05T00:00:00"/>
    <d v="2026-12-15T00:00:00"/>
    <n v="10"/>
    <x v="3"/>
    <x v="1"/>
    <x v="1"/>
    <x v="1"/>
  </r>
  <r>
    <s v="PRJ056"/>
    <x v="55"/>
    <x v="0"/>
    <x v="2"/>
    <x v="1"/>
    <n v="55"/>
    <d v="2026-05-16T00:00:00"/>
    <d v="2026-08-14T00:00:00"/>
    <d v="2026-08-09T00:00:00"/>
    <n v="-5"/>
    <x v="2"/>
    <x v="1"/>
    <x v="1"/>
    <x v="0"/>
  </r>
  <r>
    <s v="PRJ057"/>
    <x v="56"/>
    <x v="1"/>
    <x v="1"/>
    <x v="2"/>
    <n v="27"/>
    <d v="2026-05-23T00:00:00"/>
    <d v="2026-09-20T00:00:00"/>
    <s v=""/>
    <s v=""/>
    <x v="1"/>
    <x v="1"/>
    <x v="1"/>
    <x v="2"/>
  </r>
  <r>
    <s v="PRJ058"/>
    <x v="57"/>
    <x v="2"/>
    <x v="4"/>
    <x v="3"/>
    <n v="21"/>
    <d v="2026-05-30T00:00:00"/>
    <d v="2026-10-27T00:00:00"/>
    <d v="2026-11-03T00:00:00"/>
    <n v="7"/>
    <x v="5"/>
    <x v="1"/>
    <x v="1"/>
    <x v="1"/>
  </r>
  <r>
    <s v="PRJ059"/>
    <x v="58"/>
    <x v="0"/>
    <x v="6"/>
    <x v="4"/>
    <n v="48"/>
    <d v="2026-06-06T00:00:00"/>
    <d v="2026-12-03T00:00:00"/>
    <d v="2026-12-01T00:00:00"/>
    <n v="-2"/>
    <x v="4"/>
    <x v="1"/>
    <x v="1"/>
    <x v="0"/>
  </r>
  <r>
    <s v="PRJ060"/>
    <x v="59"/>
    <x v="1"/>
    <x v="7"/>
    <x v="6"/>
    <n v="32"/>
    <d v="2026-06-13T00:00:00"/>
    <d v="2027-01-09T00:00:00"/>
    <d v="2027-01-19T00:00:00"/>
    <n v="10"/>
    <x v="0"/>
    <x v="0"/>
    <x v="0"/>
    <x v="1"/>
  </r>
  <r>
    <s v="PRJ061"/>
    <x v="60"/>
    <x v="2"/>
    <x v="5"/>
    <x v="0"/>
    <n v="18"/>
    <d v="2026-06-20T00:00:00"/>
    <d v="2026-09-18T00:00:00"/>
    <s v=""/>
    <s v=""/>
    <x v="3"/>
    <x v="1"/>
    <x v="1"/>
    <x v="2"/>
  </r>
  <r>
    <s v="PRJ062"/>
    <x v="61"/>
    <x v="0"/>
    <x v="2"/>
    <x v="1"/>
    <n v="24"/>
    <d v="2026-06-27T00:00:00"/>
    <d v="2026-10-25T00:00:00"/>
    <d v="2026-10-25T00:00:00"/>
    <n v="0"/>
    <x v="2"/>
    <x v="1"/>
    <x v="1"/>
    <x v="3"/>
  </r>
  <r>
    <s v="PRJ063"/>
    <x v="62"/>
    <x v="1"/>
    <x v="8"/>
    <x v="2"/>
    <n v="42"/>
    <d v="2026-01-05T00:00:00"/>
    <d v="2026-06-04T00:00:00"/>
    <d v="2026-06-11T00:00:00"/>
    <n v="7"/>
    <x v="1"/>
    <x v="1"/>
    <x v="1"/>
    <x v="1"/>
  </r>
  <r>
    <s v="PRJ064"/>
    <x v="63"/>
    <x v="2"/>
    <x v="9"/>
    <x v="3"/>
    <n v="65"/>
    <d v="2026-01-12T00:00:00"/>
    <d v="2026-07-11T00:00:00"/>
    <d v="2026-07-09T00:00:00"/>
    <n v="-2"/>
    <x v="5"/>
    <x v="1"/>
    <x v="1"/>
    <x v="0"/>
  </r>
  <r>
    <s v="PRJ065"/>
    <x v="64"/>
    <x v="0"/>
    <x v="6"/>
    <x v="4"/>
    <n v="38"/>
    <d v="2026-01-19T00:00:00"/>
    <d v="2026-08-17T00:00:00"/>
    <s v=""/>
    <s v=""/>
    <x v="4"/>
    <x v="1"/>
    <x v="1"/>
    <x v="2"/>
  </r>
  <r>
    <s v="PRJ066"/>
    <x v="65"/>
    <x v="1"/>
    <x v="3"/>
    <x v="6"/>
    <n v="55"/>
    <d v="2026-01-26T00:00:00"/>
    <d v="2026-04-26T00:00:00"/>
    <d v="2026-04-21T00:00:00"/>
    <n v="-5"/>
    <x v="0"/>
    <x v="0"/>
    <x v="0"/>
    <x v="0"/>
  </r>
  <r>
    <s v="PRJ067"/>
    <x v="66"/>
    <x v="2"/>
    <x v="10"/>
    <x v="0"/>
    <n v="27"/>
    <d v="2026-02-02T00:00:00"/>
    <d v="2026-06-02T00:00:00"/>
    <d v="2026-06-02T00:00:00"/>
    <n v="0"/>
    <x v="3"/>
    <x v="1"/>
    <x v="1"/>
    <x v="3"/>
  </r>
  <r>
    <s v="PRJ068"/>
    <x v="67"/>
    <x v="0"/>
    <x v="2"/>
    <x v="1"/>
    <n v="21"/>
    <d v="2026-02-09T00:00:00"/>
    <d v="2026-07-09T00:00:00"/>
    <d v="2026-07-16T00:00:00"/>
    <n v="7"/>
    <x v="2"/>
    <x v="1"/>
    <x v="1"/>
    <x v="1"/>
  </r>
  <r>
    <s v="PRJ069"/>
    <x v="68"/>
    <x v="1"/>
    <x v="1"/>
    <x v="2"/>
    <n v="48"/>
    <d v="2026-02-16T00:00:00"/>
    <d v="2026-08-15T00:00:00"/>
    <s v=""/>
    <s v=""/>
    <x v="1"/>
    <x v="1"/>
    <x v="1"/>
    <x v="2"/>
  </r>
  <r>
    <s v="PRJ070"/>
    <x v="69"/>
    <x v="2"/>
    <x v="4"/>
    <x v="3"/>
    <n v="32"/>
    <d v="2026-02-23T00:00:00"/>
    <d v="2026-09-21T00:00:00"/>
    <d v="2026-10-01T00:00:00"/>
    <n v="10"/>
    <x v="5"/>
    <x v="1"/>
    <x v="1"/>
    <x v="1"/>
  </r>
  <r>
    <s v="PRJ071"/>
    <x v="70"/>
    <x v="0"/>
    <x v="6"/>
    <x v="4"/>
    <n v="18"/>
    <d v="2026-03-02T00:00:00"/>
    <d v="2026-05-31T00:00:00"/>
    <d v="2026-05-26T00:00:00"/>
    <n v="-5"/>
    <x v="4"/>
    <x v="1"/>
    <x v="1"/>
    <x v="0"/>
  </r>
  <r>
    <s v="PRJ072"/>
    <x v="71"/>
    <x v="1"/>
    <x v="7"/>
    <x v="6"/>
    <n v="24"/>
    <d v="2026-03-09T00:00:00"/>
    <d v="2026-07-07T00:00:00"/>
    <d v="2026-07-07T00:00:00"/>
    <n v="0"/>
    <x v="0"/>
    <x v="0"/>
    <x v="0"/>
    <x v="3"/>
  </r>
  <r>
    <s v="PRJ073"/>
    <x v="72"/>
    <x v="2"/>
    <x v="5"/>
    <x v="0"/>
    <n v="42"/>
    <d v="2026-03-16T00:00:00"/>
    <d v="2026-08-13T00:00:00"/>
    <s v=""/>
    <s v=""/>
    <x v="3"/>
    <x v="1"/>
    <x v="1"/>
    <x v="2"/>
  </r>
  <r>
    <s v="PRJ074"/>
    <x v="73"/>
    <x v="0"/>
    <x v="2"/>
    <x v="1"/>
    <n v="65"/>
    <d v="2026-03-23T00:00:00"/>
    <d v="2026-09-19T00:00:00"/>
    <d v="2026-09-17T00:00:00"/>
    <n v="-2"/>
    <x v="2"/>
    <x v="1"/>
    <x v="1"/>
    <x v="0"/>
  </r>
  <r>
    <s v="PRJ075"/>
    <x v="74"/>
    <x v="1"/>
    <x v="8"/>
    <x v="2"/>
    <n v="38"/>
    <d v="2026-03-30T00:00:00"/>
    <d v="2026-10-26T00:00:00"/>
    <d v="2026-11-05T00:00:00"/>
    <n v="10"/>
    <x v="1"/>
    <x v="1"/>
    <x v="1"/>
    <x v="1"/>
  </r>
  <r>
    <s v="PRJ076"/>
    <x v="75"/>
    <x v="2"/>
    <x v="9"/>
    <x v="3"/>
    <n v="55"/>
    <d v="2026-04-06T00:00:00"/>
    <d v="2026-07-05T00:00:00"/>
    <d v="2026-06-30T00:00:00"/>
    <n v="-5"/>
    <x v="5"/>
    <x v="1"/>
    <x v="1"/>
    <x v="0"/>
  </r>
  <r>
    <s v="PRJ077"/>
    <x v="76"/>
    <x v="0"/>
    <x v="6"/>
    <x v="4"/>
    <n v="27"/>
    <d v="2026-04-13T00:00:00"/>
    <d v="2026-08-11T00:00:00"/>
    <s v=""/>
    <s v=""/>
    <x v="4"/>
    <x v="1"/>
    <x v="1"/>
    <x v="2"/>
  </r>
  <r>
    <s v="PRJ078"/>
    <x v="77"/>
    <x v="1"/>
    <x v="3"/>
    <x v="6"/>
    <n v="21"/>
    <d v="2026-04-20T00:00:00"/>
    <d v="2026-09-17T00:00:00"/>
    <d v="2026-09-24T00:00:00"/>
    <n v="7"/>
    <x v="0"/>
    <x v="0"/>
    <x v="0"/>
    <x v="1"/>
  </r>
  <r>
    <s v="PRJ079"/>
    <x v="78"/>
    <x v="2"/>
    <x v="10"/>
    <x v="0"/>
    <n v="48"/>
    <d v="2026-04-27T00:00:00"/>
    <d v="2026-10-24T00:00:00"/>
    <d v="2026-10-22T00:00:00"/>
    <n v="-2"/>
    <x v="3"/>
    <x v="1"/>
    <x v="1"/>
    <x v="0"/>
  </r>
  <r>
    <s v="PRJ080"/>
    <x v="79"/>
    <x v="0"/>
    <x v="2"/>
    <x v="1"/>
    <n v="32"/>
    <d v="2026-05-04T00:00:00"/>
    <d v="2026-11-30T00:00:00"/>
    <d v="2026-12-10T00:00:00"/>
    <n v="10"/>
    <x v="2"/>
    <x v="1"/>
    <x v="1"/>
    <x v="1"/>
  </r>
  <r>
    <s v="PRJ081"/>
    <x v="80"/>
    <x v="1"/>
    <x v="1"/>
    <x v="2"/>
    <n v="18"/>
    <d v="2026-05-11T00:00:00"/>
    <d v="2026-08-09T00:00:00"/>
    <s v=""/>
    <s v=""/>
    <x v="1"/>
    <x v="1"/>
    <x v="1"/>
    <x v="2"/>
  </r>
  <r>
    <s v="PRJ082"/>
    <x v="81"/>
    <x v="2"/>
    <x v="4"/>
    <x v="3"/>
    <n v="24"/>
    <d v="2026-05-18T00:00:00"/>
    <d v="2026-09-15T00:00:00"/>
    <d v="2026-09-15T00:00:00"/>
    <n v="0"/>
    <x v="5"/>
    <x v="1"/>
    <x v="1"/>
    <x v="3"/>
  </r>
  <r>
    <s v="PRJ083"/>
    <x v="82"/>
    <x v="0"/>
    <x v="6"/>
    <x v="4"/>
    <n v="42"/>
    <d v="2026-05-25T00:00:00"/>
    <d v="2026-10-22T00:00:00"/>
    <d v="2026-10-29T00:00:00"/>
    <n v="7"/>
    <x v="4"/>
    <x v="1"/>
    <x v="1"/>
    <x v="1"/>
  </r>
  <r>
    <s v="PRJ084"/>
    <x v="83"/>
    <x v="1"/>
    <x v="7"/>
    <x v="6"/>
    <n v="65"/>
    <d v="2026-06-01T00:00:00"/>
    <d v="2026-11-28T00:00:00"/>
    <d v="2026-11-26T00:00:00"/>
    <n v="-2"/>
    <x v="0"/>
    <x v="0"/>
    <x v="0"/>
    <x v="0"/>
  </r>
  <r>
    <s v="PRJ085"/>
    <x v="84"/>
    <x v="2"/>
    <x v="5"/>
    <x v="0"/>
    <n v="38"/>
    <d v="2026-06-08T00:00:00"/>
    <d v="2027-01-04T00:00:00"/>
    <s v=""/>
    <s v=""/>
    <x v="3"/>
    <x v="1"/>
    <x v="1"/>
    <x v="2"/>
  </r>
  <r>
    <s v="PRJ086"/>
    <x v="85"/>
    <x v="0"/>
    <x v="2"/>
    <x v="1"/>
    <n v="55"/>
    <d v="2026-06-15T00:00:00"/>
    <d v="2026-09-13T00:00:00"/>
    <d v="2026-09-08T00:00:00"/>
    <n v="-5"/>
    <x v="2"/>
    <x v="1"/>
    <x v="1"/>
    <x v="0"/>
  </r>
  <r>
    <s v="PRJ087"/>
    <x v="86"/>
    <x v="1"/>
    <x v="8"/>
    <x v="2"/>
    <n v="27"/>
    <d v="2026-06-22T00:00:00"/>
    <d v="2026-10-20T00:00:00"/>
    <d v="2026-10-20T00:00:00"/>
    <n v="0"/>
    <x v="1"/>
    <x v="1"/>
    <x v="1"/>
    <x v="3"/>
  </r>
  <r>
    <s v="PRJ088"/>
    <x v="87"/>
    <x v="2"/>
    <x v="9"/>
    <x v="3"/>
    <n v="21"/>
    <d v="2026-06-29T00:00:00"/>
    <d v="2026-11-26T00:00:00"/>
    <d v="2026-12-03T00:00:00"/>
    <n v="7"/>
    <x v="5"/>
    <x v="1"/>
    <x v="1"/>
    <x v="1"/>
  </r>
  <r>
    <s v="PRJ089"/>
    <x v="88"/>
    <x v="0"/>
    <x v="6"/>
    <x v="4"/>
    <n v="48"/>
    <d v="2026-01-07T00:00:00"/>
    <d v="2026-07-06T00:00:00"/>
    <s v=""/>
    <s v=""/>
    <x v="4"/>
    <x v="1"/>
    <x v="1"/>
    <x v="2"/>
  </r>
  <r>
    <s v="PRJ090"/>
    <x v="89"/>
    <x v="1"/>
    <x v="3"/>
    <x v="6"/>
    <n v="32"/>
    <d v="2026-01-14T00:00:00"/>
    <d v="2026-08-12T00:00:00"/>
    <d v="2026-08-22T00:00:00"/>
    <n v="10"/>
    <x v="0"/>
    <x v="0"/>
    <x v="0"/>
    <x v="1"/>
  </r>
  <r>
    <s v="PRJ091"/>
    <x v="90"/>
    <x v="2"/>
    <x v="10"/>
    <x v="0"/>
    <n v="18"/>
    <d v="2026-01-21T00:00:00"/>
    <d v="2026-04-21T00:00:00"/>
    <d v="2026-04-16T00:00:00"/>
    <n v="-5"/>
    <x v="3"/>
    <x v="1"/>
    <x v="1"/>
    <x v="0"/>
  </r>
  <r>
    <s v="PRJ092"/>
    <x v="91"/>
    <x v="0"/>
    <x v="2"/>
    <x v="1"/>
    <n v="24"/>
    <d v="2026-01-28T00:00:00"/>
    <d v="2026-05-28T00:00:00"/>
    <d v="2026-05-28T00:00:00"/>
    <n v="0"/>
    <x v="2"/>
    <x v="1"/>
    <x v="1"/>
    <x v="3"/>
  </r>
  <r>
    <s v="PRJ093"/>
    <x v="92"/>
    <x v="1"/>
    <x v="1"/>
    <x v="2"/>
    <n v="42"/>
    <d v="2026-02-04T00:00:00"/>
    <d v="2026-07-04T00:00:00"/>
    <s v=""/>
    <s v=""/>
    <x v="1"/>
    <x v="1"/>
    <x v="1"/>
    <x v="2"/>
  </r>
  <r>
    <s v="PRJ094"/>
    <x v="93"/>
    <x v="2"/>
    <x v="4"/>
    <x v="3"/>
    <n v="65"/>
    <d v="2026-02-11T00:00:00"/>
    <d v="2026-08-10T00:00:00"/>
    <d v="2026-08-08T00:00:00"/>
    <n v="-2"/>
    <x v="5"/>
    <x v="1"/>
    <x v="1"/>
    <x v="0"/>
  </r>
  <r>
    <s v="PRJ095"/>
    <x v="94"/>
    <x v="0"/>
    <x v="6"/>
    <x v="4"/>
    <n v="38"/>
    <d v="2026-02-18T00:00:00"/>
    <d v="2026-09-16T00:00:00"/>
    <d v="2026-09-26T00:00:00"/>
    <n v="10"/>
    <x v="4"/>
    <x v="1"/>
    <x v="1"/>
    <x v="1"/>
  </r>
  <r>
    <s v="PRJ096"/>
    <x v="95"/>
    <x v="1"/>
    <x v="7"/>
    <x v="6"/>
    <n v="55"/>
    <d v="2026-02-25T00:00:00"/>
    <d v="2026-05-26T00:00:00"/>
    <d v="2026-05-21T00:00:00"/>
    <n v="-5"/>
    <x v="0"/>
    <x v="0"/>
    <x v="0"/>
    <x v="0"/>
  </r>
  <r>
    <s v="PRJ097"/>
    <x v="96"/>
    <x v="2"/>
    <x v="5"/>
    <x v="0"/>
    <n v="27"/>
    <d v="2026-03-04T00:00:00"/>
    <d v="2026-07-02T00:00:00"/>
    <s v=""/>
    <s v=""/>
    <x v="3"/>
    <x v="1"/>
    <x v="1"/>
    <x v="2"/>
  </r>
  <r>
    <s v="PRJ098"/>
    <x v="97"/>
    <x v="0"/>
    <x v="2"/>
    <x v="1"/>
    <n v="21"/>
    <d v="2026-03-11T00:00:00"/>
    <d v="2026-08-08T00:00:00"/>
    <d v="2026-08-15T00:00:00"/>
    <n v="7"/>
    <x v="2"/>
    <x v="1"/>
    <x v="1"/>
    <x v="1"/>
  </r>
  <r>
    <s v="PRJ099"/>
    <x v="98"/>
    <x v="1"/>
    <x v="8"/>
    <x v="2"/>
    <n v="48"/>
    <d v="2026-03-18T00:00:00"/>
    <d v="2026-09-14T00:00:00"/>
    <d v="2026-09-12T00:00:00"/>
    <n v="-2"/>
    <x v="1"/>
    <x v="1"/>
    <x v="1"/>
    <x v="0"/>
  </r>
  <r>
    <s v="PRJ100"/>
    <x v="99"/>
    <x v="2"/>
    <x v="9"/>
    <x v="3"/>
    <n v="32"/>
    <d v="2026-03-25T00:00:00"/>
    <d v="2026-10-21T00:00:00"/>
    <d v="2026-10-31T00:00:00"/>
    <n v="10"/>
    <x v="5"/>
    <x v="1"/>
    <x v="1"/>
    <x v="1"/>
  </r>
  <r>
    <s v="PRJ101"/>
    <x v="100"/>
    <x v="0"/>
    <x v="6"/>
    <x v="4"/>
    <n v="18"/>
    <d v="2026-04-01T00:00:00"/>
    <d v="2026-06-30T00:00:00"/>
    <s v=""/>
    <s v=""/>
    <x v="4"/>
    <x v="1"/>
    <x v="1"/>
    <x v="2"/>
  </r>
  <r>
    <s v="PRJ102"/>
    <x v="101"/>
    <x v="1"/>
    <x v="3"/>
    <x v="6"/>
    <n v="24"/>
    <d v="2026-04-08T00:00:00"/>
    <d v="2026-08-06T00:00:00"/>
    <d v="2026-08-06T00:00:00"/>
    <n v="0"/>
    <x v="0"/>
    <x v="0"/>
    <x v="0"/>
    <x v="3"/>
  </r>
  <r>
    <s v="PRJ103"/>
    <x v="102"/>
    <x v="2"/>
    <x v="10"/>
    <x v="0"/>
    <n v="42"/>
    <d v="2026-04-15T00:00:00"/>
    <d v="2026-09-12T00:00:00"/>
    <d v="2026-09-19T00:00:00"/>
    <n v="7"/>
    <x v="3"/>
    <x v="1"/>
    <x v="1"/>
    <x v="1"/>
  </r>
  <r>
    <s v="PRJ104"/>
    <x v="103"/>
    <x v="0"/>
    <x v="2"/>
    <x v="1"/>
    <n v="65"/>
    <d v="2026-04-22T00:00:00"/>
    <d v="2026-10-19T00:00:00"/>
    <d v="2026-10-17T00:00:00"/>
    <n v="-2"/>
    <x v="2"/>
    <x v="1"/>
    <x v="1"/>
    <x v="0"/>
  </r>
  <r>
    <s v="PRJ105"/>
    <x v="104"/>
    <x v="1"/>
    <x v="1"/>
    <x v="2"/>
    <n v="38"/>
    <d v="2026-04-29T00:00:00"/>
    <d v="2026-11-25T00:00:00"/>
    <s v=""/>
    <s v=""/>
    <x v="1"/>
    <x v="1"/>
    <x v="1"/>
    <x v="2"/>
  </r>
  <r>
    <s v="PRJ106"/>
    <x v="105"/>
    <x v="2"/>
    <x v="4"/>
    <x v="3"/>
    <n v="55"/>
    <d v="2026-05-06T00:00:00"/>
    <d v="2026-08-04T00:00:00"/>
    <d v="2026-07-30T00:00:00"/>
    <n v="-5"/>
    <x v="5"/>
    <x v="1"/>
    <x v="1"/>
    <x v="0"/>
  </r>
  <r>
    <s v="PRJ107"/>
    <x v="106"/>
    <x v="0"/>
    <x v="6"/>
    <x v="4"/>
    <n v="27"/>
    <d v="2026-05-13T00:00:00"/>
    <d v="2026-09-10T00:00:00"/>
    <d v="2026-09-10T00:00:00"/>
    <n v="0"/>
    <x v="4"/>
    <x v="1"/>
    <x v="1"/>
    <x v="3"/>
  </r>
  <r>
    <s v="PRJ108"/>
    <x v="107"/>
    <x v="1"/>
    <x v="7"/>
    <x v="6"/>
    <n v="21"/>
    <d v="2026-05-20T00:00:00"/>
    <d v="2026-10-17T00:00:00"/>
    <d v="2026-10-24T00:00:00"/>
    <n v="7"/>
    <x v="0"/>
    <x v="0"/>
    <x v="0"/>
    <x v="1"/>
  </r>
  <r>
    <s v="PRJ109"/>
    <x v="108"/>
    <x v="2"/>
    <x v="5"/>
    <x v="0"/>
    <n v="48"/>
    <d v="2026-05-27T00:00:00"/>
    <d v="2026-11-23T00:00:00"/>
    <s v=""/>
    <s v=""/>
    <x v="3"/>
    <x v="1"/>
    <x v="1"/>
    <x v="2"/>
  </r>
  <r>
    <s v="PRJ110"/>
    <x v="109"/>
    <x v="0"/>
    <x v="2"/>
    <x v="1"/>
    <n v="32"/>
    <d v="2026-06-03T00:00:00"/>
    <d v="2026-12-30T00:00:00"/>
    <d v="2027-01-09T00:00:00"/>
    <n v="10"/>
    <x v="2"/>
    <x v="1"/>
    <x v="1"/>
    <x v="1"/>
  </r>
  <r>
    <s v="PRJ111"/>
    <x v="110"/>
    <x v="1"/>
    <x v="8"/>
    <x v="2"/>
    <n v="18"/>
    <d v="2026-06-10T00:00:00"/>
    <d v="2026-09-08T00:00:00"/>
    <d v="2026-09-03T00:00:00"/>
    <n v="-5"/>
    <x v="1"/>
    <x v="1"/>
    <x v="1"/>
    <x v="0"/>
  </r>
  <r>
    <s v="PRJ112"/>
    <x v="111"/>
    <x v="2"/>
    <x v="9"/>
    <x v="3"/>
    <n v="24"/>
    <d v="2026-06-17T00:00:00"/>
    <d v="2026-10-15T00:00:00"/>
    <d v="2026-10-15T00:00:00"/>
    <n v="0"/>
    <x v="5"/>
    <x v="1"/>
    <x v="1"/>
    <x v="3"/>
  </r>
  <r>
    <s v="PRJ113"/>
    <x v="112"/>
    <x v="0"/>
    <x v="6"/>
    <x v="4"/>
    <n v="42"/>
    <d v="2026-06-24T00:00:00"/>
    <d v="2026-11-21T00:00:00"/>
    <s v=""/>
    <s v=""/>
    <x v="4"/>
    <x v="1"/>
    <x v="1"/>
    <x v="2"/>
  </r>
  <r>
    <s v="PRJ114"/>
    <x v="113"/>
    <x v="1"/>
    <x v="3"/>
    <x v="6"/>
    <n v="65"/>
    <d v="2026-01-02T00:00:00"/>
    <d v="2026-07-01T00:00:00"/>
    <d v="2026-06-29T00:00:00"/>
    <n v="-2"/>
    <x v="0"/>
    <x v="0"/>
    <x v="0"/>
    <x v="0"/>
  </r>
  <r>
    <s v="PRJ115"/>
    <x v="114"/>
    <x v="2"/>
    <x v="10"/>
    <x v="0"/>
    <n v="38"/>
    <d v="2026-01-09T00:00:00"/>
    <d v="2026-08-07T00:00:00"/>
    <d v="2026-08-17T00:00:00"/>
    <n v="10"/>
    <x v="3"/>
    <x v="1"/>
    <x v="1"/>
    <x v="1"/>
  </r>
  <r>
    <s v="PRJ116"/>
    <x v="115"/>
    <x v="0"/>
    <x v="2"/>
    <x v="1"/>
    <n v="55"/>
    <d v="2026-01-16T00:00:00"/>
    <d v="2026-04-16T00:00:00"/>
    <d v="2026-04-11T00:00:00"/>
    <n v="-5"/>
    <x v="2"/>
    <x v="1"/>
    <x v="1"/>
    <x v="0"/>
  </r>
  <r>
    <s v="PRJ117"/>
    <x v="116"/>
    <x v="1"/>
    <x v="1"/>
    <x v="2"/>
    <n v="27"/>
    <d v="2026-01-23T00:00:00"/>
    <d v="2026-05-23T00:00:00"/>
    <s v=""/>
    <s v=""/>
    <x v="1"/>
    <x v="1"/>
    <x v="1"/>
    <x v="2"/>
  </r>
  <r>
    <s v="PRJ118"/>
    <x v="117"/>
    <x v="2"/>
    <x v="4"/>
    <x v="3"/>
    <n v="21"/>
    <d v="2026-01-30T00:00:00"/>
    <d v="2026-06-29T00:00:00"/>
    <d v="2026-07-06T00:00:00"/>
    <n v="7"/>
    <x v="5"/>
    <x v="1"/>
    <x v="1"/>
    <x v="1"/>
  </r>
  <r>
    <s v="PRJ119"/>
    <x v="118"/>
    <x v="0"/>
    <x v="6"/>
    <x v="4"/>
    <n v="48"/>
    <d v="2026-02-06T00:00:00"/>
    <d v="2026-08-05T00:00:00"/>
    <d v="2026-08-03T00:00:00"/>
    <n v="-2"/>
    <x v="4"/>
    <x v="1"/>
    <x v="1"/>
    <x v="0"/>
  </r>
  <r>
    <s v="PRJ120"/>
    <x v="119"/>
    <x v="1"/>
    <x v="7"/>
    <x v="6"/>
    <n v="32"/>
    <d v="2026-02-13T00:00:00"/>
    <d v="2026-09-11T00:00:00"/>
    <d v="2026-09-21T00:00:00"/>
    <n v="10"/>
    <x v="0"/>
    <x v="0"/>
    <x v="0"/>
    <x v="1"/>
  </r>
  <r>
    <s v="PRJ121"/>
    <x v="120"/>
    <x v="2"/>
    <x v="5"/>
    <x v="0"/>
    <n v="18"/>
    <d v="2026-02-20T00:00:00"/>
    <d v="2026-05-21T00:00:00"/>
    <s v=""/>
    <s v=""/>
    <x v="3"/>
    <x v="1"/>
    <x v="1"/>
    <x v="2"/>
  </r>
  <r>
    <s v="PRJ122"/>
    <x v="121"/>
    <x v="0"/>
    <x v="2"/>
    <x v="1"/>
    <n v="24"/>
    <d v="2026-02-27T00:00:00"/>
    <d v="2026-06-27T00:00:00"/>
    <d v="2026-06-27T00:00:00"/>
    <n v="0"/>
    <x v="2"/>
    <x v="1"/>
    <x v="1"/>
    <x v="3"/>
  </r>
  <r>
    <s v="PRJ123"/>
    <x v="122"/>
    <x v="1"/>
    <x v="8"/>
    <x v="2"/>
    <n v="42"/>
    <d v="2026-03-06T00:00:00"/>
    <d v="2026-08-03T00:00:00"/>
    <d v="2026-08-10T00:00:00"/>
    <n v="7"/>
    <x v="1"/>
    <x v="1"/>
    <x v="1"/>
    <x v="1"/>
  </r>
  <r>
    <s v="PRJ124"/>
    <x v="123"/>
    <x v="2"/>
    <x v="9"/>
    <x v="3"/>
    <n v="65"/>
    <d v="2026-03-13T00:00:00"/>
    <d v="2026-09-09T00:00:00"/>
    <d v="2026-09-07T00:00:00"/>
    <n v="-2"/>
    <x v="5"/>
    <x v="1"/>
    <x v="1"/>
    <x v="0"/>
  </r>
  <r>
    <s v="PRJ125"/>
    <x v="124"/>
    <x v="0"/>
    <x v="6"/>
    <x v="4"/>
    <n v="38"/>
    <d v="2026-03-20T00:00:00"/>
    <d v="2026-10-16T00:00:00"/>
    <s v=""/>
    <s v=""/>
    <x v="4"/>
    <x v="1"/>
    <x v="1"/>
    <x v="2"/>
  </r>
  <r>
    <s v="PRJ126"/>
    <x v="125"/>
    <x v="1"/>
    <x v="3"/>
    <x v="6"/>
    <n v="55"/>
    <d v="2026-03-27T00:00:00"/>
    <d v="2026-06-25T00:00:00"/>
    <d v="2026-06-20T00:00:00"/>
    <n v="-5"/>
    <x v="0"/>
    <x v="0"/>
    <x v="0"/>
    <x v="0"/>
  </r>
  <r>
    <s v="PRJ127"/>
    <x v="126"/>
    <x v="2"/>
    <x v="10"/>
    <x v="0"/>
    <n v="27"/>
    <d v="2026-04-03T00:00:00"/>
    <d v="2026-08-01T00:00:00"/>
    <d v="2026-08-01T00:00:00"/>
    <n v="0"/>
    <x v="3"/>
    <x v="1"/>
    <x v="1"/>
    <x v="3"/>
  </r>
  <r>
    <s v="PRJ128"/>
    <x v="127"/>
    <x v="0"/>
    <x v="2"/>
    <x v="1"/>
    <n v="21"/>
    <d v="2026-04-10T00:00:00"/>
    <d v="2026-09-07T00:00:00"/>
    <d v="2026-09-14T00:00:00"/>
    <n v="7"/>
    <x v="2"/>
    <x v="1"/>
    <x v="1"/>
    <x v="1"/>
  </r>
  <r>
    <s v="PRJ129"/>
    <x v="128"/>
    <x v="1"/>
    <x v="1"/>
    <x v="2"/>
    <n v="48"/>
    <d v="2026-04-17T00:00:00"/>
    <d v="2026-10-14T00:00:00"/>
    <s v=""/>
    <s v=""/>
    <x v="1"/>
    <x v="1"/>
    <x v="1"/>
    <x v="2"/>
  </r>
  <r>
    <s v="PRJ130"/>
    <x v="129"/>
    <x v="2"/>
    <x v="4"/>
    <x v="3"/>
    <n v="32"/>
    <d v="2026-04-24T00:00:00"/>
    <d v="2026-11-20T00:00:00"/>
    <d v="2026-11-30T00:00:00"/>
    <n v="10"/>
    <x v="5"/>
    <x v="1"/>
    <x v="1"/>
    <x v="1"/>
  </r>
  <r>
    <s v="PRJ131"/>
    <x v="130"/>
    <x v="0"/>
    <x v="6"/>
    <x v="4"/>
    <n v="18"/>
    <d v="2026-05-01T00:00:00"/>
    <d v="2026-07-30T00:00:00"/>
    <d v="2026-07-25T00:00:00"/>
    <n v="-5"/>
    <x v="4"/>
    <x v="1"/>
    <x v="1"/>
    <x v="0"/>
  </r>
  <r>
    <s v="PRJ132"/>
    <x v="131"/>
    <x v="1"/>
    <x v="7"/>
    <x v="6"/>
    <n v="24"/>
    <d v="2026-05-08T00:00:00"/>
    <d v="2026-09-05T00:00:00"/>
    <d v="2026-09-05T00:00:00"/>
    <n v="0"/>
    <x v="0"/>
    <x v="0"/>
    <x v="0"/>
    <x v="3"/>
  </r>
  <r>
    <s v="PRJ133"/>
    <x v="132"/>
    <x v="2"/>
    <x v="5"/>
    <x v="0"/>
    <n v="42"/>
    <d v="2026-05-15T00:00:00"/>
    <d v="2026-10-12T00:00:00"/>
    <s v=""/>
    <s v=""/>
    <x v="3"/>
    <x v="1"/>
    <x v="1"/>
    <x v="2"/>
  </r>
  <r>
    <s v="PRJ134"/>
    <x v="133"/>
    <x v="0"/>
    <x v="2"/>
    <x v="1"/>
    <n v="65"/>
    <d v="2026-05-22T00:00:00"/>
    <d v="2026-11-18T00:00:00"/>
    <d v="2026-11-16T00:00:00"/>
    <n v="-2"/>
    <x v="2"/>
    <x v="1"/>
    <x v="1"/>
    <x v="0"/>
  </r>
  <r>
    <s v="PRJ135"/>
    <x v="134"/>
    <x v="1"/>
    <x v="8"/>
    <x v="2"/>
    <n v="38"/>
    <d v="2026-05-29T00:00:00"/>
    <d v="2026-12-25T00:00:00"/>
    <d v="2027-01-04T00:00:00"/>
    <n v="10"/>
    <x v="1"/>
    <x v="1"/>
    <x v="1"/>
    <x v="1"/>
  </r>
  <r>
    <s v="PRJ136"/>
    <x v="135"/>
    <x v="2"/>
    <x v="9"/>
    <x v="3"/>
    <n v="55"/>
    <d v="2026-06-05T00:00:00"/>
    <d v="2026-09-03T00:00:00"/>
    <d v="2026-08-29T00:00:00"/>
    <n v="-5"/>
    <x v="5"/>
    <x v="1"/>
    <x v="1"/>
    <x v="0"/>
  </r>
  <r>
    <s v="PRJ137"/>
    <x v="136"/>
    <x v="0"/>
    <x v="6"/>
    <x v="4"/>
    <n v="27"/>
    <d v="2026-06-12T00:00:00"/>
    <d v="2026-10-10T00:00:00"/>
    <s v=""/>
    <s v=""/>
    <x v="4"/>
    <x v="1"/>
    <x v="1"/>
    <x v="2"/>
  </r>
  <r>
    <s v="PRJ138"/>
    <x v="137"/>
    <x v="1"/>
    <x v="3"/>
    <x v="6"/>
    <n v="21"/>
    <d v="2026-06-19T00:00:00"/>
    <d v="2026-11-16T00:00:00"/>
    <d v="2026-11-23T00:00:00"/>
    <n v="7"/>
    <x v="0"/>
    <x v="0"/>
    <x v="0"/>
    <x v="1"/>
  </r>
  <r>
    <s v="PRJ139"/>
    <x v="138"/>
    <x v="2"/>
    <x v="10"/>
    <x v="0"/>
    <n v="48"/>
    <d v="2026-06-26T00:00:00"/>
    <d v="2026-12-23T00:00:00"/>
    <d v="2026-12-21T00:00:00"/>
    <n v="-2"/>
    <x v="3"/>
    <x v="1"/>
    <x v="1"/>
    <x v="0"/>
  </r>
  <r>
    <s v="PRJ140"/>
    <x v="139"/>
    <x v="0"/>
    <x v="2"/>
    <x v="1"/>
    <n v="32"/>
    <d v="2026-01-04T00:00:00"/>
    <d v="2026-08-02T00:00:00"/>
    <d v="2026-08-12T00:00:00"/>
    <n v="10"/>
    <x v="2"/>
    <x v="1"/>
    <x v="1"/>
    <x v="1"/>
  </r>
  <r>
    <s v="PRJ141"/>
    <x v="140"/>
    <x v="1"/>
    <x v="1"/>
    <x v="2"/>
    <n v="18"/>
    <d v="2026-01-11T00:00:00"/>
    <d v="2026-04-11T00:00:00"/>
    <s v=""/>
    <s v=""/>
    <x v="1"/>
    <x v="1"/>
    <x v="1"/>
    <x v="2"/>
  </r>
  <r>
    <s v="PRJ142"/>
    <x v="141"/>
    <x v="2"/>
    <x v="4"/>
    <x v="3"/>
    <n v="24"/>
    <d v="2026-01-18T00:00:00"/>
    <d v="2026-05-18T00:00:00"/>
    <d v="2026-05-18T00:00:00"/>
    <n v="0"/>
    <x v="5"/>
    <x v="1"/>
    <x v="1"/>
    <x v="3"/>
  </r>
  <r>
    <s v="PRJ143"/>
    <x v="142"/>
    <x v="0"/>
    <x v="6"/>
    <x v="4"/>
    <n v="42"/>
    <d v="2026-01-25T00:00:00"/>
    <d v="2026-06-24T00:00:00"/>
    <d v="2026-07-01T00:00:00"/>
    <n v="7"/>
    <x v="4"/>
    <x v="1"/>
    <x v="1"/>
    <x v="1"/>
  </r>
  <r>
    <s v="PRJ144"/>
    <x v="143"/>
    <x v="1"/>
    <x v="7"/>
    <x v="6"/>
    <n v="65"/>
    <d v="2026-02-01T00:00:00"/>
    <d v="2026-07-31T00:00:00"/>
    <d v="2026-07-29T00:00:00"/>
    <n v="-2"/>
    <x v="0"/>
    <x v="0"/>
    <x v="0"/>
    <x v="0"/>
  </r>
  <r>
    <s v="PRJ145"/>
    <x v="144"/>
    <x v="2"/>
    <x v="5"/>
    <x v="0"/>
    <n v="38"/>
    <d v="2026-02-08T00:00:00"/>
    <d v="2026-09-06T00:00:00"/>
    <s v=""/>
    <s v=""/>
    <x v="3"/>
    <x v="1"/>
    <x v="1"/>
    <x v="2"/>
  </r>
  <r>
    <s v="PRJ146"/>
    <x v="145"/>
    <x v="0"/>
    <x v="2"/>
    <x v="1"/>
    <n v="55"/>
    <d v="2026-02-15T00:00:00"/>
    <d v="2026-05-16T00:00:00"/>
    <d v="2026-05-11T00:00:00"/>
    <n v="-5"/>
    <x v="2"/>
    <x v="1"/>
    <x v="1"/>
    <x v="0"/>
  </r>
  <r>
    <s v="PRJ147"/>
    <x v="146"/>
    <x v="1"/>
    <x v="8"/>
    <x v="2"/>
    <n v="27"/>
    <d v="2026-02-22T00:00:00"/>
    <d v="2026-06-22T00:00:00"/>
    <d v="2026-06-22T00:00:00"/>
    <n v="0"/>
    <x v="1"/>
    <x v="1"/>
    <x v="1"/>
    <x v="3"/>
  </r>
  <r>
    <s v="PRJ148"/>
    <x v="147"/>
    <x v="2"/>
    <x v="9"/>
    <x v="3"/>
    <n v="21"/>
    <d v="2026-03-01T00:00:00"/>
    <d v="2026-07-29T00:00:00"/>
    <d v="2026-08-05T00:00:00"/>
    <n v="7"/>
    <x v="5"/>
    <x v="1"/>
    <x v="1"/>
    <x v="1"/>
  </r>
  <r>
    <s v="PRJ149"/>
    <x v="148"/>
    <x v="0"/>
    <x v="6"/>
    <x v="4"/>
    <n v="48"/>
    <d v="2026-03-08T00:00:00"/>
    <d v="2026-09-04T00:00:00"/>
    <s v=""/>
    <s v=""/>
    <x v="4"/>
    <x v="1"/>
    <x v="1"/>
    <x v="2"/>
  </r>
  <r>
    <s v="PRJ150"/>
    <x v="149"/>
    <x v="1"/>
    <x v="3"/>
    <x v="6"/>
    <n v="32"/>
    <d v="2026-03-15T00:00:00"/>
    <d v="2026-10-11T00:00:00"/>
    <d v="2026-10-21T00:00:00"/>
    <n v="10"/>
    <x v="0"/>
    <x v="0"/>
    <x v="0"/>
    <x v="1"/>
  </r>
  <r>
    <s v="PRJ151"/>
    <x v="150"/>
    <x v="2"/>
    <x v="10"/>
    <x v="0"/>
    <n v="18"/>
    <d v="2026-03-22T00:00:00"/>
    <d v="2026-06-20T00:00:00"/>
    <d v="2026-06-15T00:00:00"/>
    <n v="-5"/>
    <x v="3"/>
    <x v="1"/>
    <x v="1"/>
    <x v="0"/>
  </r>
  <r>
    <s v="PRJ152"/>
    <x v="151"/>
    <x v="0"/>
    <x v="2"/>
    <x v="1"/>
    <n v="24"/>
    <d v="2026-03-29T00:00:00"/>
    <d v="2026-07-27T00:00:00"/>
    <d v="2026-07-27T00:00:00"/>
    <n v="0"/>
    <x v="2"/>
    <x v="1"/>
    <x v="1"/>
    <x v="3"/>
  </r>
  <r>
    <s v="PRJ153"/>
    <x v="152"/>
    <x v="1"/>
    <x v="1"/>
    <x v="2"/>
    <n v="42"/>
    <d v="2026-04-05T00:00:00"/>
    <d v="2026-09-02T00:00:00"/>
    <s v=""/>
    <s v=""/>
    <x v="1"/>
    <x v="1"/>
    <x v="1"/>
    <x v="2"/>
  </r>
  <r>
    <s v="PRJ154"/>
    <x v="153"/>
    <x v="2"/>
    <x v="4"/>
    <x v="3"/>
    <n v="65"/>
    <d v="2026-04-12T00:00:00"/>
    <d v="2026-10-09T00:00:00"/>
    <d v="2026-10-07T00:00:00"/>
    <n v="-2"/>
    <x v="5"/>
    <x v="1"/>
    <x v="1"/>
    <x v="0"/>
  </r>
  <r>
    <s v="PRJ155"/>
    <x v="154"/>
    <x v="0"/>
    <x v="6"/>
    <x v="4"/>
    <n v="38"/>
    <d v="2026-04-19T00:00:00"/>
    <d v="2026-11-15T00:00:00"/>
    <d v="2026-11-25T00:00:00"/>
    <n v="10"/>
    <x v="4"/>
    <x v="1"/>
    <x v="1"/>
    <x v="1"/>
  </r>
  <r>
    <s v="PRJ156"/>
    <x v="155"/>
    <x v="1"/>
    <x v="7"/>
    <x v="6"/>
    <n v="55"/>
    <d v="2026-04-26T00:00:00"/>
    <d v="2026-07-25T00:00:00"/>
    <d v="2026-07-20T00:00:00"/>
    <n v="-5"/>
    <x v="0"/>
    <x v="0"/>
    <x v="0"/>
    <x v="0"/>
  </r>
  <r>
    <s v="PRJ157"/>
    <x v="156"/>
    <x v="2"/>
    <x v="5"/>
    <x v="0"/>
    <n v="27"/>
    <d v="2026-05-03T00:00:00"/>
    <d v="2026-08-31T00:00:00"/>
    <s v=""/>
    <s v=""/>
    <x v="3"/>
    <x v="1"/>
    <x v="1"/>
    <x v="2"/>
  </r>
  <r>
    <s v="PRJ158"/>
    <x v="157"/>
    <x v="0"/>
    <x v="2"/>
    <x v="1"/>
    <n v="21"/>
    <d v="2026-05-10T00:00:00"/>
    <d v="2026-10-07T00:00:00"/>
    <d v="2026-10-14T00:00:00"/>
    <n v="7"/>
    <x v="2"/>
    <x v="1"/>
    <x v="1"/>
    <x v="1"/>
  </r>
  <r>
    <s v="PRJ159"/>
    <x v="158"/>
    <x v="1"/>
    <x v="8"/>
    <x v="2"/>
    <n v="48"/>
    <d v="2026-05-17T00:00:00"/>
    <d v="2026-11-13T00:00:00"/>
    <d v="2026-11-11T00:00:00"/>
    <n v="-2"/>
    <x v="1"/>
    <x v="1"/>
    <x v="1"/>
    <x v="0"/>
  </r>
  <r>
    <s v="PRJ160"/>
    <x v="159"/>
    <x v="2"/>
    <x v="9"/>
    <x v="3"/>
    <n v="32"/>
    <d v="2026-05-24T00:00:00"/>
    <d v="2026-12-20T00:00:00"/>
    <d v="2026-12-30T00:00:00"/>
    <n v="10"/>
    <x v="5"/>
    <x v="1"/>
    <x v="1"/>
    <x v="1"/>
  </r>
  <r>
    <s v="PRJ161"/>
    <x v="160"/>
    <x v="0"/>
    <x v="6"/>
    <x v="4"/>
    <n v="18"/>
    <d v="2026-05-31T00:00:00"/>
    <d v="2026-08-29T00:00:00"/>
    <s v=""/>
    <s v=""/>
    <x v="4"/>
    <x v="1"/>
    <x v="1"/>
    <x v="2"/>
  </r>
  <r>
    <s v="PRJ162"/>
    <x v="161"/>
    <x v="1"/>
    <x v="3"/>
    <x v="6"/>
    <n v="24"/>
    <d v="2026-06-07T00:00:00"/>
    <d v="2026-10-05T00:00:00"/>
    <d v="2026-10-05T00:00:00"/>
    <n v="0"/>
    <x v="0"/>
    <x v="0"/>
    <x v="0"/>
    <x v="3"/>
  </r>
  <r>
    <s v="PRJ163"/>
    <x v="162"/>
    <x v="2"/>
    <x v="10"/>
    <x v="0"/>
    <n v="42"/>
    <d v="2026-06-14T00:00:00"/>
    <d v="2026-11-11T00:00:00"/>
    <d v="2026-11-18T00:00:00"/>
    <n v="7"/>
    <x v="3"/>
    <x v="1"/>
    <x v="1"/>
    <x v="1"/>
  </r>
  <r>
    <s v="PRJ164"/>
    <x v="163"/>
    <x v="0"/>
    <x v="2"/>
    <x v="1"/>
    <n v="65"/>
    <d v="2026-06-21T00:00:00"/>
    <d v="2026-12-18T00:00:00"/>
    <d v="2026-12-16T00:00:00"/>
    <n v="-2"/>
    <x v="2"/>
    <x v="1"/>
    <x v="1"/>
    <x v="0"/>
  </r>
  <r>
    <s v="PRJ165"/>
    <x v="164"/>
    <x v="1"/>
    <x v="1"/>
    <x v="2"/>
    <n v="38"/>
    <d v="2026-06-28T00:00:00"/>
    <d v="2027-01-24T00:00:00"/>
    <s v=""/>
    <s v=""/>
    <x v="1"/>
    <x v="1"/>
    <x v="1"/>
    <x v="2"/>
  </r>
  <r>
    <s v="PRJ166"/>
    <x v="165"/>
    <x v="2"/>
    <x v="4"/>
    <x v="3"/>
    <n v="55"/>
    <d v="2026-01-06T00:00:00"/>
    <d v="2026-04-06T00:00:00"/>
    <d v="2026-04-01T00:00:00"/>
    <n v="-5"/>
    <x v="5"/>
    <x v="1"/>
    <x v="1"/>
    <x v="0"/>
  </r>
  <r>
    <s v="PRJ167"/>
    <x v="166"/>
    <x v="0"/>
    <x v="6"/>
    <x v="4"/>
    <n v="27"/>
    <d v="2026-01-13T00:00:00"/>
    <d v="2026-05-13T00:00:00"/>
    <d v="2026-05-13T00:00:00"/>
    <n v="0"/>
    <x v="4"/>
    <x v="1"/>
    <x v="1"/>
    <x v="3"/>
  </r>
  <r>
    <s v="PRJ168"/>
    <x v="167"/>
    <x v="1"/>
    <x v="7"/>
    <x v="6"/>
    <n v="21"/>
    <d v="2026-01-20T00:00:00"/>
    <d v="2026-06-19T00:00:00"/>
    <d v="2026-06-26T00:00:00"/>
    <n v="7"/>
    <x v="0"/>
    <x v="0"/>
    <x v="0"/>
    <x v="1"/>
  </r>
  <r>
    <s v="PRJ169"/>
    <x v="168"/>
    <x v="2"/>
    <x v="5"/>
    <x v="0"/>
    <n v="48"/>
    <d v="2026-01-27T00:00:00"/>
    <d v="2026-07-26T00:00:00"/>
    <s v=""/>
    <s v=""/>
    <x v="3"/>
    <x v="1"/>
    <x v="1"/>
    <x v="2"/>
  </r>
  <r>
    <s v="PRJ170"/>
    <x v="169"/>
    <x v="0"/>
    <x v="2"/>
    <x v="1"/>
    <n v="32"/>
    <d v="2026-02-03T00:00:00"/>
    <d v="2026-09-01T00:00:00"/>
    <d v="2026-09-11T00:00:00"/>
    <n v="10"/>
    <x v="2"/>
    <x v="1"/>
    <x v="1"/>
    <x v="1"/>
  </r>
  <r>
    <s v="PRJ171"/>
    <x v="170"/>
    <x v="1"/>
    <x v="8"/>
    <x v="2"/>
    <n v="18"/>
    <d v="2026-02-10T00:00:00"/>
    <d v="2026-05-11T00:00:00"/>
    <d v="2026-05-06T00:00:00"/>
    <n v="-5"/>
    <x v="1"/>
    <x v="1"/>
    <x v="1"/>
    <x v="0"/>
  </r>
  <r>
    <s v="PRJ172"/>
    <x v="171"/>
    <x v="2"/>
    <x v="9"/>
    <x v="3"/>
    <n v="24"/>
    <d v="2026-02-17T00:00:00"/>
    <d v="2026-06-17T00:00:00"/>
    <d v="2026-06-17T00:00:00"/>
    <n v="0"/>
    <x v="5"/>
    <x v="1"/>
    <x v="1"/>
    <x v="3"/>
  </r>
  <r>
    <s v="PRJ173"/>
    <x v="172"/>
    <x v="0"/>
    <x v="6"/>
    <x v="4"/>
    <n v="42"/>
    <d v="2026-02-24T00:00:00"/>
    <d v="2026-07-24T00:00:00"/>
    <s v=""/>
    <s v=""/>
    <x v="4"/>
    <x v="1"/>
    <x v="1"/>
    <x v="2"/>
  </r>
  <r>
    <s v="PRJ174"/>
    <x v="173"/>
    <x v="1"/>
    <x v="3"/>
    <x v="6"/>
    <n v="65"/>
    <d v="2026-03-03T00:00:00"/>
    <d v="2026-08-30T00:00:00"/>
    <d v="2026-08-28T00:00:00"/>
    <n v="-2"/>
    <x v="0"/>
    <x v="0"/>
    <x v="0"/>
    <x v="0"/>
  </r>
  <r>
    <s v="PRJ175"/>
    <x v="174"/>
    <x v="2"/>
    <x v="10"/>
    <x v="0"/>
    <n v="38"/>
    <d v="2026-03-10T00:00:00"/>
    <d v="2026-10-06T00:00:00"/>
    <d v="2026-10-16T00:00:00"/>
    <n v="10"/>
    <x v="3"/>
    <x v="1"/>
    <x v="1"/>
    <x v="1"/>
  </r>
  <r>
    <s v="PRJ176"/>
    <x v="175"/>
    <x v="0"/>
    <x v="2"/>
    <x v="1"/>
    <n v="55"/>
    <d v="2026-03-17T00:00:00"/>
    <d v="2026-06-15T00:00:00"/>
    <d v="2026-06-10T00:00:00"/>
    <n v="-5"/>
    <x v="2"/>
    <x v="1"/>
    <x v="1"/>
    <x v="0"/>
  </r>
  <r>
    <s v="PRJ177"/>
    <x v="176"/>
    <x v="1"/>
    <x v="1"/>
    <x v="2"/>
    <n v="27"/>
    <d v="2026-03-24T00:00:00"/>
    <d v="2026-07-22T00:00:00"/>
    <s v=""/>
    <s v=""/>
    <x v="1"/>
    <x v="1"/>
    <x v="1"/>
    <x v="2"/>
  </r>
  <r>
    <s v="PRJ178"/>
    <x v="177"/>
    <x v="2"/>
    <x v="4"/>
    <x v="3"/>
    <n v="21"/>
    <d v="2026-03-31T00:00:00"/>
    <d v="2026-08-28T00:00:00"/>
    <d v="2026-09-04T00:00:00"/>
    <n v="7"/>
    <x v="5"/>
    <x v="1"/>
    <x v="1"/>
    <x v="1"/>
  </r>
  <r>
    <s v="PRJ179"/>
    <x v="178"/>
    <x v="0"/>
    <x v="6"/>
    <x v="4"/>
    <n v="48"/>
    <d v="2026-04-07T00:00:00"/>
    <d v="2026-10-04T00:00:00"/>
    <d v="2026-10-02T00:00:00"/>
    <n v="-2"/>
    <x v="4"/>
    <x v="1"/>
    <x v="1"/>
    <x v="0"/>
  </r>
  <r>
    <s v="PRJ180"/>
    <x v="179"/>
    <x v="1"/>
    <x v="7"/>
    <x v="6"/>
    <n v="32"/>
    <d v="2026-04-14T00:00:00"/>
    <d v="2026-11-10T00:00:00"/>
    <d v="2026-11-20T00:00:00"/>
    <n v="10"/>
    <x v="0"/>
    <x v="0"/>
    <x v="0"/>
    <x v="1"/>
  </r>
  <r>
    <s v="PRJ181"/>
    <x v="180"/>
    <x v="2"/>
    <x v="5"/>
    <x v="0"/>
    <n v="18"/>
    <d v="2026-04-21T00:00:00"/>
    <d v="2026-07-20T00:00:00"/>
    <s v=""/>
    <s v=""/>
    <x v="3"/>
    <x v="1"/>
    <x v="1"/>
    <x v="2"/>
  </r>
  <r>
    <s v="PRJ182"/>
    <x v="181"/>
    <x v="0"/>
    <x v="2"/>
    <x v="1"/>
    <n v="24"/>
    <d v="2026-04-28T00:00:00"/>
    <d v="2026-08-26T00:00:00"/>
    <d v="2026-08-26T00:00:00"/>
    <n v="0"/>
    <x v="2"/>
    <x v="1"/>
    <x v="1"/>
    <x v="3"/>
  </r>
  <r>
    <s v="PRJ183"/>
    <x v="182"/>
    <x v="1"/>
    <x v="8"/>
    <x v="2"/>
    <n v="42"/>
    <d v="2026-05-05T00:00:00"/>
    <d v="2026-10-02T00:00:00"/>
    <d v="2026-10-09T00:00:00"/>
    <n v="7"/>
    <x v="1"/>
    <x v="1"/>
    <x v="1"/>
    <x v="1"/>
  </r>
  <r>
    <s v="PRJ184"/>
    <x v="183"/>
    <x v="2"/>
    <x v="9"/>
    <x v="3"/>
    <n v="65"/>
    <d v="2026-05-12T00:00:00"/>
    <d v="2026-11-08T00:00:00"/>
    <d v="2026-11-06T00:00:00"/>
    <n v="-2"/>
    <x v="5"/>
    <x v="1"/>
    <x v="1"/>
    <x v="0"/>
  </r>
  <r>
    <s v="PRJ185"/>
    <x v="184"/>
    <x v="0"/>
    <x v="6"/>
    <x v="4"/>
    <n v="38"/>
    <d v="2026-05-19T00:00:00"/>
    <d v="2026-12-15T00:00:00"/>
    <s v=""/>
    <s v=""/>
    <x v="4"/>
    <x v="1"/>
    <x v="1"/>
    <x v="2"/>
  </r>
  <r>
    <s v="PRJ186"/>
    <x v="185"/>
    <x v="1"/>
    <x v="3"/>
    <x v="6"/>
    <n v="55"/>
    <d v="2026-05-26T00:00:00"/>
    <d v="2026-08-24T00:00:00"/>
    <d v="2026-08-19T00:00:00"/>
    <n v="-5"/>
    <x v="0"/>
    <x v="0"/>
    <x v="0"/>
    <x v="0"/>
  </r>
  <r>
    <s v="PRJ187"/>
    <x v="186"/>
    <x v="2"/>
    <x v="10"/>
    <x v="0"/>
    <n v="27"/>
    <d v="2026-06-02T00:00:00"/>
    <d v="2026-09-30T00:00:00"/>
    <d v="2026-09-30T00:00:00"/>
    <n v="0"/>
    <x v="3"/>
    <x v="1"/>
    <x v="1"/>
    <x v="3"/>
  </r>
  <r>
    <s v="PRJ188"/>
    <x v="187"/>
    <x v="0"/>
    <x v="2"/>
    <x v="1"/>
    <n v="21"/>
    <d v="2026-06-09T00:00:00"/>
    <d v="2026-11-06T00:00:00"/>
    <d v="2026-11-13T00:00:00"/>
    <n v="7"/>
    <x v="2"/>
    <x v="1"/>
    <x v="1"/>
    <x v="1"/>
  </r>
  <r>
    <s v="PRJ189"/>
    <x v="188"/>
    <x v="1"/>
    <x v="1"/>
    <x v="2"/>
    <n v="48"/>
    <d v="2026-06-16T00:00:00"/>
    <d v="2026-12-13T00:00:00"/>
    <s v=""/>
    <s v=""/>
    <x v="1"/>
    <x v="1"/>
    <x v="1"/>
    <x v="2"/>
  </r>
  <r>
    <s v="PRJ190"/>
    <x v="189"/>
    <x v="2"/>
    <x v="4"/>
    <x v="3"/>
    <n v="32"/>
    <d v="2026-06-23T00:00:00"/>
    <d v="2027-01-19T00:00:00"/>
    <d v="2027-01-29T00:00:00"/>
    <n v="10"/>
    <x v="5"/>
    <x v="1"/>
    <x v="1"/>
    <x v="1"/>
  </r>
  <r>
    <s v="PRJ191"/>
    <x v="190"/>
    <x v="0"/>
    <x v="6"/>
    <x v="4"/>
    <n v="18"/>
    <d v="2026-01-01T00:00:00"/>
    <d v="2026-04-01T00:00:00"/>
    <d v="2026-03-27T00:00:00"/>
    <n v="-5"/>
    <x v="4"/>
    <x v="1"/>
    <x v="1"/>
    <x v="0"/>
  </r>
  <r>
    <s v="PRJ192"/>
    <x v="191"/>
    <x v="1"/>
    <x v="7"/>
    <x v="6"/>
    <n v="24"/>
    <d v="2026-01-08T00:00:00"/>
    <d v="2026-05-08T00:00:00"/>
    <d v="2026-05-08T00:00:00"/>
    <n v="0"/>
    <x v="0"/>
    <x v="0"/>
    <x v="0"/>
    <x v="3"/>
  </r>
  <r>
    <s v="PRJ193"/>
    <x v="192"/>
    <x v="2"/>
    <x v="5"/>
    <x v="0"/>
    <n v="42"/>
    <d v="2026-01-15T00:00:00"/>
    <d v="2026-06-14T00:00:00"/>
    <s v=""/>
    <s v=""/>
    <x v="3"/>
    <x v="1"/>
    <x v="1"/>
    <x v="2"/>
  </r>
  <r>
    <s v="PRJ194"/>
    <x v="193"/>
    <x v="0"/>
    <x v="2"/>
    <x v="1"/>
    <n v="65"/>
    <d v="2026-01-22T00:00:00"/>
    <d v="2026-07-21T00:00:00"/>
    <d v="2026-07-19T00:00:00"/>
    <n v="-2"/>
    <x v="2"/>
    <x v="1"/>
    <x v="1"/>
    <x v="0"/>
  </r>
  <r>
    <s v="PRJ195"/>
    <x v="194"/>
    <x v="1"/>
    <x v="8"/>
    <x v="2"/>
    <n v="38"/>
    <d v="2026-01-29T00:00:00"/>
    <d v="2026-08-27T00:00:00"/>
    <d v="2026-09-06T00:00:00"/>
    <n v="10"/>
    <x v="1"/>
    <x v="1"/>
    <x v="1"/>
    <x v="1"/>
  </r>
  <r>
    <s v="PRJ196"/>
    <x v="195"/>
    <x v="2"/>
    <x v="9"/>
    <x v="3"/>
    <n v="55"/>
    <d v="2026-02-05T00:00:00"/>
    <d v="2026-05-06T00:00:00"/>
    <d v="2026-05-01T00:00:00"/>
    <n v="-5"/>
    <x v="5"/>
    <x v="1"/>
    <x v="1"/>
    <x v="0"/>
  </r>
  <r>
    <s v="PRJ197"/>
    <x v="196"/>
    <x v="0"/>
    <x v="6"/>
    <x v="4"/>
    <n v="27"/>
    <d v="2026-02-12T00:00:00"/>
    <d v="2026-06-12T00:00:00"/>
    <s v=""/>
    <s v=""/>
    <x v="4"/>
    <x v="1"/>
    <x v="1"/>
    <x v="2"/>
  </r>
  <r>
    <s v="PRJ198"/>
    <x v="197"/>
    <x v="1"/>
    <x v="3"/>
    <x v="6"/>
    <n v="21"/>
    <d v="2026-02-19T00:00:00"/>
    <d v="2026-07-19T00:00:00"/>
    <d v="2026-07-26T00:00:00"/>
    <n v="7"/>
    <x v="0"/>
    <x v="0"/>
    <x v="0"/>
    <x v="1"/>
  </r>
  <r>
    <s v="PRJ199"/>
    <x v="198"/>
    <x v="2"/>
    <x v="10"/>
    <x v="0"/>
    <n v="48"/>
    <d v="2026-02-26T00:00:00"/>
    <d v="2026-08-25T00:00:00"/>
    <d v="2026-08-23T00:00:00"/>
    <n v="-2"/>
    <x v="3"/>
    <x v="1"/>
    <x v="1"/>
    <x v="0"/>
  </r>
  <r>
    <s v="PRJ200"/>
    <x v="199"/>
    <x v="0"/>
    <x v="2"/>
    <x v="1"/>
    <n v="32"/>
    <d v="2026-03-05T00:00:00"/>
    <d v="2026-10-01T00:00:00"/>
    <d v="2026-10-11T00:00:00"/>
    <n v="10"/>
    <x v="2"/>
    <x v="1"/>
    <x v="1"/>
    <x v="1"/>
  </r>
  <r>
    <s v="PRJ201"/>
    <x v="200"/>
    <x v="1"/>
    <x v="1"/>
    <x v="2"/>
    <n v="18"/>
    <d v="2026-03-12T00:00:00"/>
    <d v="2026-06-10T00:00:00"/>
    <s v=""/>
    <s v=""/>
    <x v="1"/>
    <x v="1"/>
    <x v="1"/>
    <x v="2"/>
  </r>
  <r>
    <s v="PRJ202"/>
    <x v="201"/>
    <x v="2"/>
    <x v="4"/>
    <x v="3"/>
    <n v="24"/>
    <d v="2026-03-19T00:00:00"/>
    <d v="2026-07-17T00:00:00"/>
    <d v="2026-07-17T00:00:00"/>
    <n v="0"/>
    <x v="5"/>
    <x v="1"/>
    <x v="1"/>
    <x v="3"/>
  </r>
  <r>
    <s v="PRJ203"/>
    <x v="202"/>
    <x v="0"/>
    <x v="6"/>
    <x v="4"/>
    <n v="42"/>
    <d v="2026-03-26T00:00:00"/>
    <d v="2026-08-23T00:00:00"/>
    <d v="2026-08-30T00:00:00"/>
    <n v="7"/>
    <x v="4"/>
    <x v="1"/>
    <x v="1"/>
    <x v="1"/>
  </r>
  <r>
    <s v="PRJ204"/>
    <x v="203"/>
    <x v="1"/>
    <x v="7"/>
    <x v="6"/>
    <n v="65"/>
    <d v="2026-04-02T00:00:00"/>
    <d v="2026-09-29T00:00:00"/>
    <d v="2026-09-27T00:00:00"/>
    <n v="-2"/>
    <x v="0"/>
    <x v="0"/>
    <x v="0"/>
    <x v="0"/>
  </r>
  <r>
    <s v="PRJ205"/>
    <x v="204"/>
    <x v="2"/>
    <x v="5"/>
    <x v="0"/>
    <n v="38"/>
    <d v="2026-04-09T00:00:00"/>
    <d v="2026-11-05T00:00:00"/>
    <s v=""/>
    <s v=""/>
    <x v="3"/>
    <x v="1"/>
    <x v="1"/>
    <x v="2"/>
  </r>
  <r>
    <s v="PRJ206"/>
    <x v="205"/>
    <x v="0"/>
    <x v="2"/>
    <x v="1"/>
    <n v="55"/>
    <d v="2026-04-16T00:00:00"/>
    <d v="2026-07-15T00:00:00"/>
    <d v="2026-07-10T00:00:00"/>
    <n v="-5"/>
    <x v="2"/>
    <x v="1"/>
    <x v="1"/>
    <x v="0"/>
  </r>
  <r>
    <s v="PRJ207"/>
    <x v="206"/>
    <x v="1"/>
    <x v="8"/>
    <x v="2"/>
    <n v="27"/>
    <d v="2026-04-23T00:00:00"/>
    <d v="2026-08-21T00:00:00"/>
    <d v="2026-08-21T00:00:00"/>
    <n v="0"/>
    <x v="1"/>
    <x v="1"/>
    <x v="1"/>
    <x v="3"/>
  </r>
  <r>
    <s v="PRJ208"/>
    <x v="207"/>
    <x v="2"/>
    <x v="9"/>
    <x v="3"/>
    <n v="21"/>
    <d v="2026-04-30T00:00:00"/>
    <d v="2026-09-27T00:00:00"/>
    <d v="2026-10-04T00:00:00"/>
    <n v="7"/>
    <x v="5"/>
    <x v="1"/>
    <x v="1"/>
    <x v="1"/>
  </r>
  <r>
    <s v="PRJ209"/>
    <x v="208"/>
    <x v="0"/>
    <x v="6"/>
    <x v="4"/>
    <n v="48"/>
    <d v="2026-05-07T00:00:00"/>
    <d v="2026-11-03T00:00:00"/>
    <s v=""/>
    <s v=""/>
    <x v="4"/>
    <x v="1"/>
    <x v="1"/>
    <x v="2"/>
  </r>
  <r>
    <s v="PRJ210"/>
    <x v="209"/>
    <x v="1"/>
    <x v="3"/>
    <x v="6"/>
    <n v="32"/>
    <d v="2026-05-14T00:00:00"/>
    <d v="2026-12-10T00:00:00"/>
    <d v="2026-12-20T00:00:00"/>
    <n v="10"/>
    <x v="0"/>
    <x v="0"/>
    <x v="0"/>
    <x v="1"/>
  </r>
  <r>
    <s v="PRJ211"/>
    <x v="210"/>
    <x v="2"/>
    <x v="10"/>
    <x v="0"/>
    <n v="18"/>
    <d v="2026-05-21T00:00:00"/>
    <d v="2026-08-19T00:00:00"/>
    <d v="2026-08-14T00:00:00"/>
    <n v="-5"/>
    <x v="3"/>
    <x v="1"/>
    <x v="1"/>
    <x v="0"/>
  </r>
  <r>
    <s v="PRJ212"/>
    <x v="211"/>
    <x v="0"/>
    <x v="2"/>
    <x v="1"/>
    <n v="24"/>
    <d v="2026-05-28T00:00:00"/>
    <d v="2026-09-25T00:00:00"/>
    <d v="2026-09-25T00:00:00"/>
    <n v="0"/>
    <x v="2"/>
    <x v="1"/>
    <x v="1"/>
    <x v="3"/>
  </r>
  <r>
    <s v="PRJ213"/>
    <x v="212"/>
    <x v="1"/>
    <x v="1"/>
    <x v="2"/>
    <n v="42"/>
    <d v="2026-06-04T00:00:00"/>
    <d v="2026-11-01T00:00:00"/>
    <s v=""/>
    <s v=""/>
    <x v="1"/>
    <x v="1"/>
    <x v="1"/>
    <x v="2"/>
  </r>
  <r>
    <s v="PRJ214"/>
    <x v="213"/>
    <x v="2"/>
    <x v="4"/>
    <x v="3"/>
    <n v="65"/>
    <d v="2026-06-11T00:00:00"/>
    <d v="2026-12-08T00:00:00"/>
    <d v="2026-12-06T00:00:00"/>
    <n v="-2"/>
    <x v="5"/>
    <x v="1"/>
    <x v="1"/>
    <x v="0"/>
  </r>
  <r>
    <s v="PRJ215"/>
    <x v="214"/>
    <x v="0"/>
    <x v="6"/>
    <x v="4"/>
    <n v="38"/>
    <d v="2026-06-18T00:00:00"/>
    <d v="2027-01-14T00:00:00"/>
    <d v="2027-01-24T00:00:00"/>
    <n v="10"/>
    <x v="4"/>
    <x v="1"/>
    <x v="1"/>
    <x v="1"/>
  </r>
  <r>
    <s v="PRJ216"/>
    <x v="215"/>
    <x v="1"/>
    <x v="7"/>
    <x v="6"/>
    <n v="55"/>
    <d v="2026-06-25T00:00:00"/>
    <d v="2026-09-23T00:00:00"/>
    <d v="2026-09-18T00:00:00"/>
    <n v="-5"/>
    <x v="0"/>
    <x v="0"/>
    <x v="0"/>
    <x v="0"/>
  </r>
  <r>
    <s v="PRJ217"/>
    <x v="216"/>
    <x v="2"/>
    <x v="5"/>
    <x v="0"/>
    <n v="27"/>
    <d v="2026-01-03T00:00:00"/>
    <d v="2026-05-03T00:00:00"/>
    <s v=""/>
    <s v=""/>
    <x v="3"/>
    <x v="1"/>
    <x v="1"/>
    <x v="2"/>
  </r>
  <r>
    <s v="PRJ218"/>
    <x v="217"/>
    <x v="0"/>
    <x v="2"/>
    <x v="1"/>
    <n v="21"/>
    <d v="2026-01-10T00:00:00"/>
    <d v="2026-06-09T00:00:00"/>
    <d v="2026-06-16T00:00:00"/>
    <n v="7"/>
    <x v="2"/>
    <x v="1"/>
    <x v="1"/>
    <x v="1"/>
  </r>
  <r>
    <s v="PRJ219"/>
    <x v="218"/>
    <x v="1"/>
    <x v="8"/>
    <x v="2"/>
    <n v="48"/>
    <d v="2026-01-17T00:00:00"/>
    <d v="2026-07-16T00:00:00"/>
    <d v="2026-07-14T00:00:00"/>
    <n v="-2"/>
    <x v="1"/>
    <x v="1"/>
    <x v="1"/>
    <x v="0"/>
  </r>
  <r>
    <s v="PRJ220"/>
    <x v="219"/>
    <x v="2"/>
    <x v="9"/>
    <x v="3"/>
    <n v="32"/>
    <d v="2026-01-24T00:00:00"/>
    <d v="2026-08-22T00:00:00"/>
    <d v="2026-09-01T00:00:00"/>
    <n v="10"/>
    <x v="5"/>
    <x v="1"/>
    <x v="1"/>
    <x v="1"/>
  </r>
  <r>
    <s v="PRJ221"/>
    <x v="220"/>
    <x v="0"/>
    <x v="6"/>
    <x v="4"/>
    <n v="18"/>
    <d v="2026-01-31T00:00:00"/>
    <d v="2026-05-01T00:00:00"/>
    <s v=""/>
    <s v=""/>
    <x v="4"/>
    <x v="1"/>
    <x v="1"/>
    <x v="2"/>
  </r>
  <r>
    <s v="PRJ222"/>
    <x v="221"/>
    <x v="1"/>
    <x v="3"/>
    <x v="6"/>
    <n v="24"/>
    <d v="2026-02-07T00:00:00"/>
    <d v="2026-06-07T00:00:00"/>
    <d v="2026-06-07T00:00:00"/>
    <n v="0"/>
    <x v="0"/>
    <x v="0"/>
    <x v="0"/>
    <x v="3"/>
  </r>
  <r>
    <s v="PRJ223"/>
    <x v="222"/>
    <x v="2"/>
    <x v="10"/>
    <x v="0"/>
    <n v="42"/>
    <d v="2026-02-14T00:00:00"/>
    <d v="2026-07-14T00:00:00"/>
    <d v="2026-07-21T00:00:00"/>
    <n v="7"/>
    <x v="3"/>
    <x v="1"/>
    <x v="1"/>
    <x v="1"/>
  </r>
  <r>
    <s v="PRJ224"/>
    <x v="223"/>
    <x v="0"/>
    <x v="2"/>
    <x v="1"/>
    <n v="65"/>
    <d v="2026-02-21T00:00:00"/>
    <d v="2026-08-20T00:00:00"/>
    <d v="2026-08-18T00:00:00"/>
    <n v="-2"/>
    <x v="2"/>
    <x v="1"/>
    <x v="1"/>
    <x v="0"/>
  </r>
  <r>
    <s v="PRJ225"/>
    <x v="224"/>
    <x v="1"/>
    <x v="1"/>
    <x v="2"/>
    <n v="38"/>
    <d v="2026-02-28T00:00:00"/>
    <d v="2026-09-26T00:00:00"/>
    <s v=""/>
    <s v=""/>
    <x v="1"/>
    <x v="1"/>
    <x v="1"/>
    <x v="2"/>
  </r>
  <r>
    <s v="PRJ226"/>
    <x v="225"/>
    <x v="2"/>
    <x v="4"/>
    <x v="3"/>
    <n v="55"/>
    <d v="2026-03-07T00:00:00"/>
    <d v="2026-06-05T00:00:00"/>
    <d v="2026-05-31T00:00:00"/>
    <n v="-5"/>
    <x v="5"/>
    <x v="1"/>
    <x v="1"/>
    <x v="0"/>
  </r>
  <r>
    <s v="PRJ227"/>
    <x v="226"/>
    <x v="0"/>
    <x v="6"/>
    <x v="4"/>
    <n v="27"/>
    <d v="2026-03-14T00:00:00"/>
    <d v="2026-07-12T00:00:00"/>
    <d v="2026-07-12T00:00:00"/>
    <n v="0"/>
    <x v="4"/>
    <x v="1"/>
    <x v="1"/>
    <x v="3"/>
  </r>
  <r>
    <s v="PRJ228"/>
    <x v="227"/>
    <x v="1"/>
    <x v="7"/>
    <x v="6"/>
    <n v="21"/>
    <d v="2026-03-21T00:00:00"/>
    <d v="2026-08-18T00:00:00"/>
    <d v="2026-08-25T00:00:00"/>
    <n v="7"/>
    <x v="0"/>
    <x v="0"/>
    <x v="0"/>
    <x v="1"/>
  </r>
  <r>
    <s v="PRJ229"/>
    <x v="228"/>
    <x v="2"/>
    <x v="5"/>
    <x v="0"/>
    <n v="48"/>
    <d v="2026-03-28T00:00:00"/>
    <d v="2026-09-24T00:00:00"/>
    <s v=""/>
    <s v=""/>
    <x v="3"/>
    <x v="1"/>
    <x v="1"/>
    <x v="2"/>
  </r>
  <r>
    <s v="PRJ230"/>
    <x v="229"/>
    <x v="0"/>
    <x v="2"/>
    <x v="1"/>
    <n v="32"/>
    <d v="2026-04-04T00:00:00"/>
    <d v="2026-10-31T00:00:00"/>
    <d v="2026-11-10T00:00:00"/>
    <n v="10"/>
    <x v="2"/>
    <x v="1"/>
    <x v="1"/>
    <x v="1"/>
  </r>
  <r>
    <s v="PRJ231"/>
    <x v="230"/>
    <x v="1"/>
    <x v="8"/>
    <x v="2"/>
    <n v="18"/>
    <d v="2026-04-11T00:00:00"/>
    <d v="2026-07-10T00:00:00"/>
    <d v="2026-07-05T00:00:00"/>
    <n v="-5"/>
    <x v="1"/>
    <x v="1"/>
    <x v="1"/>
    <x v="0"/>
  </r>
  <r>
    <s v="PRJ232"/>
    <x v="231"/>
    <x v="2"/>
    <x v="9"/>
    <x v="3"/>
    <n v="24"/>
    <d v="2026-04-18T00:00:00"/>
    <d v="2026-08-16T00:00:00"/>
    <d v="2026-08-16T00:00:00"/>
    <n v="0"/>
    <x v="5"/>
    <x v="1"/>
    <x v="1"/>
    <x v="3"/>
  </r>
  <r>
    <s v="PRJ233"/>
    <x v="232"/>
    <x v="0"/>
    <x v="6"/>
    <x v="4"/>
    <n v="42"/>
    <d v="2026-04-25T00:00:00"/>
    <d v="2026-09-22T00:00:00"/>
    <s v=""/>
    <s v=""/>
    <x v="4"/>
    <x v="1"/>
    <x v="1"/>
    <x v="2"/>
  </r>
  <r>
    <s v="PRJ234"/>
    <x v="233"/>
    <x v="1"/>
    <x v="3"/>
    <x v="6"/>
    <n v="65"/>
    <d v="2026-05-02T00:00:00"/>
    <d v="2026-10-29T00:00:00"/>
    <d v="2026-10-27T00:00:00"/>
    <n v="-2"/>
    <x v="0"/>
    <x v="0"/>
    <x v="0"/>
    <x v="0"/>
  </r>
  <r>
    <s v="PRJ235"/>
    <x v="234"/>
    <x v="2"/>
    <x v="10"/>
    <x v="0"/>
    <n v="38"/>
    <d v="2026-05-09T00:00:00"/>
    <d v="2026-12-05T00:00:00"/>
    <d v="2026-12-15T00:00:00"/>
    <n v="10"/>
    <x v="3"/>
    <x v="1"/>
    <x v="1"/>
    <x v="1"/>
  </r>
  <r>
    <s v="PRJ236"/>
    <x v="235"/>
    <x v="0"/>
    <x v="2"/>
    <x v="1"/>
    <n v="55"/>
    <d v="2026-05-16T00:00:00"/>
    <d v="2026-08-14T00:00:00"/>
    <d v="2026-08-09T00:00:00"/>
    <n v="-5"/>
    <x v="2"/>
    <x v="1"/>
    <x v="1"/>
    <x v="0"/>
  </r>
  <r>
    <s v="PRJ237"/>
    <x v="236"/>
    <x v="1"/>
    <x v="1"/>
    <x v="2"/>
    <n v="27"/>
    <d v="2026-05-23T00:00:00"/>
    <d v="2026-09-20T00:00:00"/>
    <s v=""/>
    <s v=""/>
    <x v="1"/>
    <x v="1"/>
    <x v="1"/>
    <x v="2"/>
  </r>
  <r>
    <s v="PRJ238"/>
    <x v="237"/>
    <x v="2"/>
    <x v="4"/>
    <x v="3"/>
    <n v="21"/>
    <d v="2026-05-30T00:00:00"/>
    <d v="2026-10-27T00:00:00"/>
    <d v="2026-11-03T00:00:00"/>
    <n v="7"/>
    <x v="5"/>
    <x v="1"/>
    <x v="1"/>
    <x v="1"/>
  </r>
  <r>
    <s v="PRJ239"/>
    <x v="238"/>
    <x v="0"/>
    <x v="6"/>
    <x v="4"/>
    <n v="48"/>
    <d v="2026-06-06T00:00:00"/>
    <d v="2026-12-03T00:00:00"/>
    <d v="2026-12-01T00:00:00"/>
    <n v="-2"/>
    <x v="4"/>
    <x v="1"/>
    <x v="1"/>
    <x v="0"/>
  </r>
  <r>
    <s v="PRJ240"/>
    <x v="239"/>
    <x v="1"/>
    <x v="7"/>
    <x v="6"/>
    <n v="32"/>
    <d v="2026-06-13T00:00:00"/>
    <d v="2027-01-09T00:00:00"/>
    <d v="2027-01-19T00:00:00"/>
    <n v="10"/>
    <x v="0"/>
    <x v="0"/>
    <x v="0"/>
    <x v="1"/>
  </r>
  <r>
    <s v="PRJ241"/>
    <x v="240"/>
    <x v="2"/>
    <x v="5"/>
    <x v="0"/>
    <n v="18"/>
    <d v="2026-06-20T00:00:00"/>
    <d v="2026-09-18T00:00:00"/>
    <s v=""/>
    <s v=""/>
    <x v="3"/>
    <x v="1"/>
    <x v="1"/>
    <x v="2"/>
  </r>
  <r>
    <s v="PRJ242"/>
    <x v="241"/>
    <x v="0"/>
    <x v="2"/>
    <x v="1"/>
    <n v="24"/>
    <d v="2026-06-27T00:00:00"/>
    <d v="2026-10-25T00:00:00"/>
    <d v="2026-10-25T00:00:00"/>
    <n v="0"/>
    <x v="2"/>
    <x v="1"/>
    <x v="1"/>
    <x v="3"/>
  </r>
  <r>
    <s v="PRJ243"/>
    <x v="242"/>
    <x v="1"/>
    <x v="8"/>
    <x v="2"/>
    <n v="42"/>
    <d v="2026-01-05T00:00:00"/>
    <d v="2026-06-04T00:00:00"/>
    <d v="2026-06-11T00:00:00"/>
    <n v="7"/>
    <x v="1"/>
    <x v="1"/>
    <x v="1"/>
    <x v="1"/>
  </r>
  <r>
    <s v="PRJ244"/>
    <x v="243"/>
    <x v="2"/>
    <x v="9"/>
    <x v="3"/>
    <n v="65"/>
    <d v="2026-01-12T00:00:00"/>
    <d v="2026-07-11T00:00:00"/>
    <d v="2026-07-09T00:00:00"/>
    <n v="-2"/>
    <x v="5"/>
    <x v="1"/>
    <x v="1"/>
    <x v="0"/>
  </r>
  <r>
    <s v="PRJ245"/>
    <x v="244"/>
    <x v="0"/>
    <x v="6"/>
    <x v="4"/>
    <n v="38"/>
    <d v="2026-01-19T00:00:00"/>
    <d v="2026-08-17T00:00:00"/>
    <s v=""/>
    <s v=""/>
    <x v="4"/>
    <x v="1"/>
    <x v="1"/>
    <x v="2"/>
  </r>
  <r>
    <s v="PRJ246"/>
    <x v="245"/>
    <x v="1"/>
    <x v="3"/>
    <x v="6"/>
    <n v="55"/>
    <d v="2026-01-26T00:00:00"/>
    <d v="2026-04-26T00:00:00"/>
    <d v="2026-04-21T00:00:00"/>
    <n v="-5"/>
    <x v="0"/>
    <x v="0"/>
    <x v="0"/>
    <x v="0"/>
  </r>
  <r>
    <s v="PRJ247"/>
    <x v="246"/>
    <x v="2"/>
    <x v="10"/>
    <x v="0"/>
    <n v="27"/>
    <d v="2026-02-02T00:00:00"/>
    <d v="2026-06-02T00:00:00"/>
    <d v="2026-06-02T00:00:00"/>
    <n v="0"/>
    <x v="3"/>
    <x v="1"/>
    <x v="1"/>
    <x v="3"/>
  </r>
  <r>
    <s v="PRJ248"/>
    <x v="247"/>
    <x v="0"/>
    <x v="2"/>
    <x v="1"/>
    <n v="21"/>
    <d v="2026-02-09T00:00:00"/>
    <d v="2026-07-09T00:00:00"/>
    <d v="2026-07-16T00:00:00"/>
    <n v="7"/>
    <x v="2"/>
    <x v="1"/>
    <x v="1"/>
    <x v="1"/>
  </r>
  <r>
    <s v="PRJ249"/>
    <x v="248"/>
    <x v="1"/>
    <x v="1"/>
    <x v="2"/>
    <n v="48"/>
    <d v="2026-02-16T00:00:00"/>
    <d v="2026-08-15T00:00:00"/>
    <s v=""/>
    <s v=""/>
    <x v="1"/>
    <x v="1"/>
    <x v="1"/>
    <x v="2"/>
  </r>
  <r>
    <s v="PRJ250"/>
    <x v="249"/>
    <x v="2"/>
    <x v="4"/>
    <x v="3"/>
    <n v="32"/>
    <d v="2026-02-23T00:00:00"/>
    <d v="2026-09-21T00:00:00"/>
    <d v="2026-10-01T00:00:00"/>
    <n v="10"/>
    <x v="5"/>
    <x v="1"/>
    <x v="1"/>
    <x v="1"/>
  </r>
  <r>
    <s v="PRJ251"/>
    <x v="250"/>
    <x v="0"/>
    <x v="6"/>
    <x v="4"/>
    <n v="18"/>
    <d v="2026-03-02T00:00:00"/>
    <d v="2026-05-31T00:00:00"/>
    <d v="2026-05-26T00:00:00"/>
    <n v="-5"/>
    <x v="4"/>
    <x v="1"/>
    <x v="1"/>
    <x v="0"/>
  </r>
  <r>
    <s v="PRJ252"/>
    <x v="251"/>
    <x v="1"/>
    <x v="7"/>
    <x v="6"/>
    <n v="24"/>
    <d v="2026-03-09T00:00:00"/>
    <d v="2026-07-07T00:00:00"/>
    <d v="2026-07-07T00:00:00"/>
    <n v="0"/>
    <x v="0"/>
    <x v="0"/>
    <x v="0"/>
    <x v="3"/>
  </r>
  <r>
    <s v="PRJ253"/>
    <x v="252"/>
    <x v="2"/>
    <x v="5"/>
    <x v="0"/>
    <n v="42"/>
    <d v="2026-03-16T00:00:00"/>
    <d v="2026-08-13T00:00:00"/>
    <s v=""/>
    <s v=""/>
    <x v="3"/>
    <x v="1"/>
    <x v="1"/>
    <x v="2"/>
  </r>
  <r>
    <s v="PRJ254"/>
    <x v="253"/>
    <x v="0"/>
    <x v="2"/>
    <x v="1"/>
    <n v="65"/>
    <d v="2026-03-23T00:00:00"/>
    <d v="2026-09-19T00:00:00"/>
    <d v="2026-09-17T00:00:00"/>
    <n v="-2"/>
    <x v="2"/>
    <x v="1"/>
    <x v="1"/>
    <x v="0"/>
  </r>
  <r>
    <s v="PRJ255"/>
    <x v="254"/>
    <x v="1"/>
    <x v="8"/>
    <x v="2"/>
    <n v="38"/>
    <d v="2026-03-30T00:00:00"/>
    <d v="2026-10-26T00:00:00"/>
    <d v="2026-11-05T00:00:00"/>
    <n v="10"/>
    <x v="1"/>
    <x v="1"/>
    <x v="1"/>
    <x v="1"/>
  </r>
  <r>
    <s v="PRJ256"/>
    <x v="255"/>
    <x v="2"/>
    <x v="9"/>
    <x v="3"/>
    <n v="55"/>
    <d v="2026-04-06T00:00:00"/>
    <d v="2026-07-05T00:00:00"/>
    <d v="2026-06-30T00:00:00"/>
    <n v="-5"/>
    <x v="5"/>
    <x v="1"/>
    <x v="1"/>
    <x v="0"/>
  </r>
  <r>
    <s v="PRJ257"/>
    <x v="256"/>
    <x v="0"/>
    <x v="6"/>
    <x v="4"/>
    <n v="27"/>
    <d v="2026-04-13T00:00:00"/>
    <d v="2026-08-11T00:00:00"/>
    <s v=""/>
    <s v=""/>
    <x v="4"/>
    <x v="1"/>
    <x v="1"/>
    <x v="2"/>
  </r>
  <r>
    <s v="PRJ258"/>
    <x v="257"/>
    <x v="1"/>
    <x v="3"/>
    <x v="6"/>
    <n v="21"/>
    <d v="2026-04-20T00:00:00"/>
    <d v="2026-09-17T00:00:00"/>
    <d v="2026-09-24T00:00:00"/>
    <n v="7"/>
    <x v="0"/>
    <x v="0"/>
    <x v="0"/>
    <x v="1"/>
  </r>
  <r>
    <s v="PRJ259"/>
    <x v="258"/>
    <x v="2"/>
    <x v="10"/>
    <x v="0"/>
    <n v="48"/>
    <d v="2026-04-27T00:00:00"/>
    <d v="2026-10-24T00:00:00"/>
    <d v="2026-10-22T00:00:00"/>
    <n v="-2"/>
    <x v="3"/>
    <x v="1"/>
    <x v="1"/>
    <x v="0"/>
  </r>
  <r>
    <s v="PRJ260"/>
    <x v="259"/>
    <x v="0"/>
    <x v="2"/>
    <x v="1"/>
    <n v="32"/>
    <d v="2026-05-04T00:00:00"/>
    <d v="2026-11-30T00:00:00"/>
    <d v="2026-12-10T00:00:00"/>
    <n v="10"/>
    <x v="2"/>
    <x v="1"/>
    <x v="1"/>
    <x v="1"/>
  </r>
  <r>
    <s v="PRJ261"/>
    <x v="260"/>
    <x v="1"/>
    <x v="1"/>
    <x v="2"/>
    <n v="18"/>
    <d v="2026-05-11T00:00:00"/>
    <d v="2026-08-09T00:00:00"/>
    <s v=""/>
    <s v=""/>
    <x v="1"/>
    <x v="1"/>
    <x v="1"/>
    <x v="2"/>
  </r>
  <r>
    <s v="PRJ262"/>
    <x v="261"/>
    <x v="2"/>
    <x v="4"/>
    <x v="3"/>
    <n v="24"/>
    <d v="2026-05-18T00:00:00"/>
    <d v="2026-09-15T00:00:00"/>
    <d v="2026-09-15T00:00:00"/>
    <n v="0"/>
    <x v="5"/>
    <x v="1"/>
    <x v="1"/>
    <x v="3"/>
  </r>
  <r>
    <s v="PRJ263"/>
    <x v="262"/>
    <x v="0"/>
    <x v="6"/>
    <x v="4"/>
    <n v="42"/>
    <d v="2026-05-25T00:00:00"/>
    <d v="2026-10-22T00:00:00"/>
    <d v="2026-10-29T00:00:00"/>
    <n v="7"/>
    <x v="4"/>
    <x v="1"/>
    <x v="1"/>
    <x v="1"/>
  </r>
  <r>
    <s v="PRJ264"/>
    <x v="263"/>
    <x v="1"/>
    <x v="7"/>
    <x v="6"/>
    <n v="65"/>
    <d v="2026-06-01T00:00:00"/>
    <d v="2026-11-28T00:00:00"/>
    <d v="2026-11-26T00:00:00"/>
    <n v="-2"/>
    <x v="0"/>
    <x v="0"/>
    <x v="0"/>
    <x v="0"/>
  </r>
  <r>
    <s v="PRJ265"/>
    <x v="264"/>
    <x v="2"/>
    <x v="5"/>
    <x v="0"/>
    <n v="38"/>
    <d v="2026-06-08T00:00:00"/>
    <d v="2027-01-04T00:00:00"/>
    <s v=""/>
    <s v=""/>
    <x v="3"/>
    <x v="1"/>
    <x v="1"/>
    <x v="2"/>
  </r>
  <r>
    <s v="PRJ266"/>
    <x v="265"/>
    <x v="0"/>
    <x v="2"/>
    <x v="1"/>
    <n v="55"/>
    <d v="2026-06-15T00:00:00"/>
    <d v="2026-09-13T00:00:00"/>
    <d v="2026-09-08T00:00:00"/>
    <n v="-5"/>
    <x v="2"/>
    <x v="1"/>
    <x v="1"/>
    <x v="0"/>
  </r>
  <r>
    <s v="PRJ267"/>
    <x v="266"/>
    <x v="1"/>
    <x v="8"/>
    <x v="2"/>
    <n v="27"/>
    <d v="2026-06-22T00:00:00"/>
    <d v="2026-10-20T00:00:00"/>
    <d v="2026-10-20T00:00:00"/>
    <n v="0"/>
    <x v="1"/>
    <x v="1"/>
    <x v="1"/>
    <x v="3"/>
  </r>
  <r>
    <s v="PRJ268"/>
    <x v="267"/>
    <x v="2"/>
    <x v="9"/>
    <x v="3"/>
    <n v="21"/>
    <d v="2026-06-29T00:00:00"/>
    <d v="2026-11-26T00:00:00"/>
    <d v="2026-12-03T00:00:00"/>
    <n v="7"/>
    <x v="5"/>
    <x v="1"/>
    <x v="1"/>
    <x v="1"/>
  </r>
  <r>
    <s v="PRJ269"/>
    <x v="268"/>
    <x v="0"/>
    <x v="6"/>
    <x v="4"/>
    <n v="48"/>
    <d v="2026-01-07T00:00:00"/>
    <d v="2026-07-06T00:00:00"/>
    <s v=""/>
    <s v=""/>
    <x v="4"/>
    <x v="1"/>
    <x v="1"/>
    <x v="2"/>
  </r>
  <r>
    <s v="PRJ270"/>
    <x v="269"/>
    <x v="1"/>
    <x v="3"/>
    <x v="6"/>
    <n v="32"/>
    <d v="2026-01-14T00:00:00"/>
    <d v="2026-08-12T00:00:00"/>
    <d v="2026-08-22T00:00:00"/>
    <n v="10"/>
    <x v="0"/>
    <x v="0"/>
    <x v="0"/>
    <x v="1"/>
  </r>
  <r>
    <s v="PRJ271"/>
    <x v="270"/>
    <x v="2"/>
    <x v="10"/>
    <x v="0"/>
    <n v="18"/>
    <d v="2026-01-21T00:00:00"/>
    <d v="2026-04-21T00:00:00"/>
    <d v="2026-04-16T00:00:00"/>
    <n v="-5"/>
    <x v="3"/>
    <x v="1"/>
    <x v="1"/>
    <x v="0"/>
  </r>
  <r>
    <s v="PRJ272"/>
    <x v="271"/>
    <x v="0"/>
    <x v="2"/>
    <x v="1"/>
    <n v="24"/>
    <d v="2026-01-28T00:00:00"/>
    <d v="2026-05-28T00:00:00"/>
    <d v="2026-05-28T00:00:00"/>
    <n v="0"/>
    <x v="2"/>
    <x v="1"/>
    <x v="1"/>
    <x v="3"/>
  </r>
  <r>
    <s v="PRJ273"/>
    <x v="272"/>
    <x v="1"/>
    <x v="1"/>
    <x v="2"/>
    <n v="42"/>
    <d v="2026-02-04T00:00:00"/>
    <d v="2026-07-04T00:00:00"/>
    <s v=""/>
    <s v=""/>
    <x v="1"/>
    <x v="1"/>
    <x v="1"/>
    <x v="2"/>
  </r>
  <r>
    <s v="PRJ274"/>
    <x v="273"/>
    <x v="2"/>
    <x v="4"/>
    <x v="3"/>
    <n v="65"/>
    <d v="2026-02-11T00:00:00"/>
    <d v="2026-08-10T00:00:00"/>
    <d v="2026-08-08T00:00:00"/>
    <n v="-2"/>
    <x v="5"/>
    <x v="1"/>
    <x v="1"/>
    <x v="0"/>
  </r>
  <r>
    <s v="PRJ275"/>
    <x v="274"/>
    <x v="0"/>
    <x v="6"/>
    <x v="4"/>
    <n v="38"/>
    <d v="2026-02-18T00:00:00"/>
    <d v="2026-09-16T00:00:00"/>
    <d v="2026-09-26T00:00:00"/>
    <n v="10"/>
    <x v="4"/>
    <x v="1"/>
    <x v="1"/>
    <x v="1"/>
  </r>
  <r>
    <s v="PRJ276"/>
    <x v="275"/>
    <x v="1"/>
    <x v="7"/>
    <x v="6"/>
    <n v="55"/>
    <d v="2026-02-25T00:00:00"/>
    <d v="2026-05-26T00:00:00"/>
    <d v="2026-05-21T00:00:00"/>
    <n v="-5"/>
    <x v="0"/>
    <x v="0"/>
    <x v="0"/>
    <x v="0"/>
  </r>
  <r>
    <s v="PRJ277"/>
    <x v="276"/>
    <x v="2"/>
    <x v="5"/>
    <x v="0"/>
    <n v="27"/>
    <d v="2026-03-04T00:00:00"/>
    <d v="2026-07-02T00:00:00"/>
    <s v=""/>
    <s v=""/>
    <x v="3"/>
    <x v="1"/>
    <x v="1"/>
    <x v="2"/>
  </r>
  <r>
    <s v="PRJ278"/>
    <x v="277"/>
    <x v="0"/>
    <x v="2"/>
    <x v="1"/>
    <n v="21"/>
    <d v="2026-03-11T00:00:00"/>
    <d v="2026-08-08T00:00:00"/>
    <d v="2026-08-15T00:00:00"/>
    <n v="7"/>
    <x v="2"/>
    <x v="1"/>
    <x v="1"/>
    <x v="1"/>
  </r>
  <r>
    <s v="PRJ279"/>
    <x v="278"/>
    <x v="1"/>
    <x v="8"/>
    <x v="2"/>
    <n v="48"/>
    <d v="2026-03-18T00:00:00"/>
    <d v="2026-09-14T00:00:00"/>
    <d v="2026-09-12T00:00:00"/>
    <n v="-2"/>
    <x v="1"/>
    <x v="1"/>
    <x v="1"/>
    <x v="0"/>
  </r>
  <r>
    <s v="PRJ280"/>
    <x v="279"/>
    <x v="2"/>
    <x v="9"/>
    <x v="3"/>
    <n v="32"/>
    <d v="2026-03-25T00:00:00"/>
    <d v="2026-10-21T00:00:00"/>
    <d v="2026-10-31T00:00:00"/>
    <n v="10"/>
    <x v="5"/>
    <x v="1"/>
    <x v="1"/>
    <x v="1"/>
  </r>
  <r>
    <s v="PRJ281"/>
    <x v="280"/>
    <x v="0"/>
    <x v="6"/>
    <x v="4"/>
    <n v="18"/>
    <d v="2026-04-01T00:00:00"/>
    <d v="2026-06-30T00:00:00"/>
    <s v=""/>
    <s v=""/>
    <x v="4"/>
    <x v="1"/>
    <x v="1"/>
    <x v="2"/>
  </r>
  <r>
    <s v="PRJ282"/>
    <x v="281"/>
    <x v="1"/>
    <x v="3"/>
    <x v="6"/>
    <n v="24"/>
    <d v="2026-04-08T00:00:00"/>
    <d v="2026-08-06T00:00:00"/>
    <d v="2026-08-06T00:00:00"/>
    <n v="0"/>
    <x v="0"/>
    <x v="0"/>
    <x v="0"/>
    <x v="3"/>
  </r>
  <r>
    <s v="PRJ283"/>
    <x v="282"/>
    <x v="2"/>
    <x v="10"/>
    <x v="0"/>
    <n v="42"/>
    <d v="2026-04-15T00:00:00"/>
    <d v="2026-09-12T00:00:00"/>
    <d v="2026-09-19T00:00:00"/>
    <n v="7"/>
    <x v="3"/>
    <x v="1"/>
    <x v="1"/>
    <x v="1"/>
  </r>
  <r>
    <s v="PRJ284"/>
    <x v="283"/>
    <x v="0"/>
    <x v="2"/>
    <x v="1"/>
    <n v="65"/>
    <d v="2026-04-22T00:00:00"/>
    <d v="2026-10-19T00:00:00"/>
    <d v="2026-10-17T00:00:00"/>
    <n v="-2"/>
    <x v="2"/>
    <x v="1"/>
    <x v="1"/>
    <x v="0"/>
  </r>
  <r>
    <s v="PRJ285"/>
    <x v="284"/>
    <x v="1"/>
    <x v="1"/>
    <x v="2"/>
    <n v="38"/>
    <d v="2026-04-29T00:00:00"/>
    <d v="2026-11-25T00:00:00"/>
    <s v=""/>
    <s v=""/>
    <x v="1"/>
    <x v="1"/>
    <x v="1"/>
    <x v="2"/>
  </r>
  <r>
    <s v="PRJ286"/>
    <x v="285"/>
    <x v="2"/>
    <x v="4"/>
    <x v="3"/>
    <n v="55"/>
    <d v="2026-05-06T00:00:00"/>
    <d v="2026-08-04T00:00:00"/>
    <d v="2026-07-30T00:00:00"/>
    <n v="-5"/>
    <x v="5"/>
    <x v="1"/>
    <x v="1"/>
    <x v="0"/>
  </r>
  <r>
    <s v="PRJ287"/>
    <x v="286"/>
    <x v="0"/>
    <x v="6"/>
    <x v="4"/>
    <n v="27"/>
    <d v="2026-05-13T00:00:00"/>
    <d v="2026-09-10T00:00:00"/>
    <d v="2026-09-10T00:00:00"/>
    <n v="0"/>
    <x v="4"/>
    <x v="1"/>
    <x v="1"/>
    <x v="3"/>
  </r>
  <r>
    <s v="PRJ288"/>
    <x v="287"/>
    <x v="1"/>
    <x v="7"/>
    <x v="6"/>
    <n v="21"/>
    <d v="2026-05-20T00:00:00"/>
    <d v="2026-10-17T00:00:00"/>
    <d v="2026-10-24T00:00:00"/>
    <n v="7"/>
    <x v="0"/>
    <x v="0"/>
    <x v="0"/>
    <x v="1"/>
  </r>
  <r>
    <s v="PRJ289"/>
    <x v="288"/>
    <x v="2"/>
    <x v="5"/>
    <x v="0"/>
    <n v="48"/>
    <d v="2026-05-27T00:00:00"/>
    <d v="2026-11-23T00:00:00"/>
    <s v=""/>
    <s v=""/>
    <x v="3"/>
    <x v="1"/>
    <x v="1"/>
    <x v="2"/>
  </r>
  <r>
    <s v="PRJ290"/>
    <x v="289"/>
    <x v="0"/>
    <x v="2"/>
    <x v="1"/>
    <n v="32"/>
    <d v="2026-06-03T00:00:00"/>
    <d v="2026-12-30T00:00:00"/>
    <d v="2027-01-09T00:00:00"/>
    <n v="10"/>
    <x v="2"/>
    <x v="1"/>
    <x v="1"/>
    <x v="1"/>
  </r>
  <r>
    <s v="PRJ291"/>
    <x v="290"/>
    <x v="1"/>
    <x v="8"/>
    <x v="2"/>
    <n v="18"/>
    <d v="2026-06-10T00:00:00"/>
    <d v="2026-09-08T00:00:00"/>
    <d v="2026-09-03T00:00:00"/>
    <n v="-5"/>
    <x v="1"/>
    <x v="1"/>
    <x v="1"/>
    <x v="0"/>
  </r>
  <r>
    <s v="PRJ292"/>
    <x v="291"/>
    <x v="2"/>
    <x v="9"/>
    <x v="3"/>
    <n v="24"/>
    <d v="2026-06-17T00:00:00"/>
    <d v="2026-10-15T00:00:00"/>
    <d v="2026-10-15T00:00:00"/>
    <n v="0"/>
    <x v="5"/>
    <x v="1"/>
    <x v="1"/>
    <x v="3"/>
  </r>
  <r>
    <s v="PRJ293"/>
    <x v="292"/>
    <x v="0"/>
    <x v="6"/>
    <x v="4"/>
    <n v="42"/>
    <d v="2026-06-24T00:00:00"/>
    <d v="2026-11-21T00:00:00"/>
    <s v=""/>
    <s v=""/>
    <x v="4"/>
    <x v="1"/>
    <x v="1"/>
    <x v="2"/>
  </r>
  <r>
    <s v="PRJ294"/>
    <x v="293"/>
    <x v="1"/>
    <x v="3"/>
    <x v="6"/>
    <n v="65"/>
    <d v="2026-01-02T00:00:00"/>
    <d v="2026-07-01T00:00:00"/>
    <d v="2026-06-29T00:00:00"/>
    <n v="-2"/>
    <x v="0"/>
    <x v="0"/>
    <x v="0"/>
    <x v="0"/>
  </r>
  <r>
    <s v="PRJ295"/>
    <x v="294"/>
    <x v="2"/>
    <x v="10"/>
    <x v="0"/>
    <n v="38"/>
    <d v="2026-01-09T00:00:00"/>
    <d v="2026-08-07T00:00:00"/>
    <d v="2026-08-17T00:00:00"/>
    <n v="10"/>
    <x v="3"/>
    <x v="1"/>
    <x v="1"/>
    <x v="1"/>
  </r>
  <r>
    <s v="PRJ296"/>
    <x v="295"/>
    <x v="0"/>
    <x v="2"/>
    <x v="1"/>
    <n v="55"/>
    <d v="2026-01-16T00:00:00"/>
    <d v="2026-04-16T00:00:00"/>
    <d v="2026-04-11T00:00:00"/>
    <n v="-5"/>
    <x v="2"/>
    <x v="1"/>
    <x v="1"/>
    <x v="0"/>
  </r>
  <r>
    <s v="PRJ297"/>
    <x v="296"/>
    <x v="1"/>
    <x v="1"/>
    <x v="2"/>
    <n v="27"/>
    <d v="2026-01-23T00:00:00"/>
    <d v="2026-05-23T00:00:00"/>
    <s v=""/>
    <s v=""/>
    <x v="1"/>
    <x v="1"/>
    <x v="1"/>
    <x v="2"/>
  </r>
  <r>
    <s v="PRJ298"/>
    <x v="297"/>
    <x v="2"/>
    <x v="4"/>
    <x v="3"/>
    <n v="21"/>
    <d v="2026-01-30T00:00:00"/>
    <d v="2026-06-29T00:00:00"/>
    <d v="2026-07-06T00:00:00"/>
    <n v="7"/>
    <x v="5"/>
    <x v="1"/>
    <x v="1"/>
    <x v="1"/>
  </r>
  <r>
    <s v="PRJ299"/>
    <x v="298"/>
    <x v="0"/>
    <x v="6"/>
    <x v="4"/>
    <n v="48"/>
    <d v="2026-02-06T00:00:00"/>
    <d v="2026-08-05T00:00:00"/>
    <d v="2026-08-03T00:00:00"/>
    <n v="-2"/>
    <x v="4"/>
    <x v="1"/>
    <x v="1"/>
    <x v="0"/>
  </r>
  <r>
    <s v="PRJ300"/>
    <x v="299"/>
    <x v="1"/>
    <x v="7"/>
    <x v="6"/>
    <n v="32"/>
    <d v="2026-02-13T00:00:00"/>
    <d v="2026-09-11T00:00:00"/>
    <d v="2026-09-21T00:00:00"/>
    <n v="10"/>
    <x v="0"/>
    <x v="0"/>
    <x v="0"/>
    <x v="1"/>
  </r>
  <r>
    <s v="PRJ301"/>
    <x v="300"/>
    <x v="2"/>
    <x v="4"/>
    <x v="3"/>
    <n v="60"/>
    <d v="2026-08-15T00:00:00"/>
    <d v="2026-11-15T00:00:00"/>
    <d v="2026-11-15T00:00:00"/>
    <n v="0"/>
    <x v="0"/>
    <x v="0"/>
    <x v="0"/>
    <x v="3"/>
  </r>
  <r>
    <s v="PRJ302"/>
    <x v="301"/>
    <x v="0"/>
    <x v="11"/>
    <x v="2"/>
    <n v="72"/>
    <d v="2026-08-20T00:00:00"/>
    <d v="2026-12-20T00:00:00"/>
    <d v="2026-12-27T00:00:00"/>
    <n v="7"/>
    <x v="4"/>
    <x v="0"/>
    <x v="0"/>
    <x v="1"/>
  </r>
  <r>
    <s v="PRJ303"/>
    <x v="302"/>
    <x v="1"/>
    <x v="7"/>
    <x v="4"/>
    <n v="45"/>
    <d v="2026-09-01T00:00:00"/>
    <d v="2026-12-15T00:00:00"/>
    <m/>
    <n v="-5"/>
    <x v="1"/>
    <x v="1"/>
    <x v="1"/>
    <x v="0"/>
  </r>
  <r>
    <s v="PRJ304"/>
    <x v="303"/>
    <x v="2"/>
    <x v="10"/>
    <x v="0"/>
    <n v="38"/>
    <d v="2026-09-10T00:00:00"/>
    <d v="2027-01-10T00:00:00"/>
    <m/>
    <n v="10"/>
    <x v="2"/>
    <x v="1"/>
    <x v="1"/>
    <x v="1"/>
  </r>
  <r>
    <s v="PRJ305"/>
    <x v="304"/>
    <x v="0"/>
    <x v="2"/>
    <x v="6"/>
    <n v="55"/>
    <d v="2026-09-18T00:00:00"/>
    <d v="2026-12-18T00:00:00"/>
    <m/>
    <n v="0"/>
    <x v="3"/>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7207E-910A-4C5A-B17E-C5967457FD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50:F54" firstHeaderRow="1" firstDataRow="1" firstDataCol="1"/>
  <pivotFields count="14">
    <pivotField showAll="0"/>
    <pivotField showAll="0"/>
    <pivotField axis="axisRow" showAll="0">
      <items count="4">
        <item x="0"/>
        <item x="2"/>
        <item x="1"/>
        <item t="default"/>
      </items>
    </pivotField>
    <pivotField showAll="0"/>
    <pivotField showAll="0">
      <items count="8">
        <item x="1"/>
        <item x="6"/>
        <item x="2"/>
        <item x="4"/>
        <item x="3"/>
        <item x="0"/>
        <item x="5"/>
        <item t="default"/>
      </items>
    </pivotField>
    <pivotField dataField="1"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Fields count="1">
    <field x="2"/>
  </rowFields>
  <rowItems count="4">
    <i>
      <x/>
    </i>
    <i>
      <x v="1"/>
    </i>
    <i>
      <x v="2"/>
    </i>
    <i t="grand">
      <x/>
    </i>
  </rowItems>
  <colItems count="1">
    <i/>
  </colItems>
  <dataFields count="1">
    <dataField name="Sum of Project Value (₹  Lakhs)" fld="5" baseField="0" baseItem="0" numFmtId="164"/>
  </dataFields>
  <chartFormats count="2">
    <chartFormat chart="12"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4167B-F9CE-4E93-BACA-1A46554BE9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8:F66" firstHeaderRow="1" firstDataRow="1" firstDataCol="1"/>
  <pivotFields count="14">
    <pivotField showAll="0"/>
    <pivotField showAll="0"/>
    <pivotField showAll="0">
      <items count="4">
        <item x="0"/>
        <item x="2"/>
        <item x="1"/>
        <item t="default"/>
      </items>
    </pivotField>
    <pivotField showAll="0"/>
    <pivotField axis="axisRow" showAll="0">
      <items count="8">
        <item x="1"/>
        <item x="6"/>
        <item x="2"/>
        <item x="4"/>
        <item x="3"/>
        <item x="0"/>
        <item x="5"/>
        <item t="default"/>
      </items>
    </pivotField>
    <pivotField dataField="1"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Fields count="1">
    <field x="4"/>
  </rowFields>
  <rowItems count="8">
    <i>
      <x/>
    </i>
    <i>
      <x v="1"/>
    </i>
    <i>
      <x v="2"/>
    </i>
    <i>
      <x v="3"/>
    </i>
    <i>
      <x v="4"/>
    </i>
    <i>
      <x v="5"/>
    </i>
    <i>
      <x v="6"/>
    </i>
    <i t="grand">
      <x/>
    </i>
  </rowItems>
  <colItems count="1">
    <i/>
  </colItems>
  <dataFields count="1">
    <dataField name="Sum of Project Value (₹  Lakhs)" fld="5" baseField="0" baseItem="0" numFmtId="164"/>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60E77D-3BB2-4B3D-8616-187E574EB2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88:D91" firstHeaderRow="1" firstDataRow="1" firstDataCol="1"/>
  <pivotFields count="14">
    <pivotField showAll="0"/>
    <pivotField showAll="0"/>
    <pivotField showAll="0"/>
    <pivotField showAll="0"/>
    <pivotField showAll="0"/>
    <pivotField numFmtId="164" showAll="0"/>
    <pivotField numFmtId="165" showAll="0"/>
    <pivotField numFmtId="165" showAll="0"/>
    <pivotField showAll="0"/>
    <pivotField showAll="0"/>
    <pivotField showAll="0"/>
    <pivotField axis="axisRow" showAll="0">
      <items count="3">
        <item x="0"/>
        <item x="1"/>
        <item t="default"/>
      </items>
    </pivotField>
    <pivotField showAll="0"/>
    <pivotField showAll="0"/>
  </pivotFields>
  <rowFields count="1">
    <field x="1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82032D-655F-46AA-A2C4-69CEF138E5EB}" name="pvttbl_HO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M4" firstHeaderRow="1" firstDataRow="1" firstDataCol="1"/>
  <pivotFields count="14">
    <pivotField dataField="1" showAll="0"/>
    <pivotField showAll="0"/>
    <pivotField showAll="0">
      <items count="4">
        <item x="0"/>
        <item x="2"/>
        <item x="1"/>
        <item t="default"/>
      </items>
    </pivotField>
    <pivotField showAll="0"/>
    <pivotField showAll="0">
      <items count="8">
        <item x="1"/>
        <item x="6"/>
        <item x="2"/>
        <item x="4"/>
        <item x="3"/>
        <item x="0"/>
        <item x="5"/>
        <item t="default"/>
      </items>
    </pivotField>
    <pivotField numFmtId="164" showAll="0"/>
    <pivotField numFmtId="165" showAll="0"/>
    <pivotField numFmtId="165" showAll="0"/>
    <pivotField showAll="0"/>
    <pivotField showAll="0"/>
    <pivotField showAll="0"/>
    <pivotField showAll="0">
      <items count="3">
        <item x="0"/>
        <item x="1"/>
        <item t="default"/>
      </items>
    </pivotField>
    <pivotField axis="axisRow" showAll="0">
      <items count="3">
        <item x="0"/>
        <item x="1"/>
        <item t="default"/>
      </items>
    </pivotField>
    <pivotField showAll="0"/>
  </pivotFields>
  <rowFields count="1">
    <field x="12"/>
  </rowFields>
  <rowItems count="3">
    <i>
      <x/>
    </i>
    <i>
      <x v="1"/>
    </i>
    <i t="grand">
      <x/>
    </i>
  </rowItems>
  <colItems count="1">
    <i/>
  </colItems>
  <dataFields count="1">
    <dataField name="Count of Project ID" fld="0" subtotal="count" baseField="0" baseItem="0"/>
  </dataFields>
  <chartFormats count="8">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8" format="6">
      <pivotArea type="data" outline="0" fieldPosition="0">
        <references count="2">
          <reference field="4294967294" count="1" selected="0">
            <x v="0"/>
          </reference>
          <reference field="12" count="1" selected="0">
            <x v="1"/>
          </reference>
        </references>
      </pivotArea>
    </chartFormat>
    <chartFormat chart="5" format="5">
      <pivotArea type="data" outline="0" fieldPosition="0">
        <references count="2">
          <reference field="4294967294" count="1" selected="0">
            <x v="0"/>
          </reference>
          <reference field="12" count="1" selected="0">
            <x v="0"/>
          </reference>
        </references>
      </pivotArea>
    </chartFormat>
    <chartFormat chart="5"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11C342-2516-44C9-8673-F259EC762425}" name="pvttbl_installationst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8" firstHeaderRow="1" firstDataRow="1" firstDataCol="1"/>
  <pivotFields count="14">
    <pivotField dataField="1" showAll="0"/>
    <pivotField showAll="0"/>
    <pivotField showAll="0">
      <items count="4">
        <item x="0"/>
        <item x="2"/>
        <item x="1"/>
        <item t="default"/>
      </items>
    </pivotField>
    <pivotField showAll="0"/>
    <pivotField showAll="0">
      <items count="8">
        <item x="1"/>
        <item x="6"/>
        <item x="2"/>
        <item x="4"/>
        <item x="3"/>
        <item x="0"/>
        <item x="5"/>
        <item t="default"/>
      </items>
    </pivotField>
    <pivotField numFmtId="164" showAll="0"/>
    <pivotField numFmtId="165" showAll="0"/>
    <pivotField numFmtId="165" showAll="0"/>
    <pivotField showAll="0"/>
    <pivotField showAll="0"/>
    <pivotField axis="axisRow" showAll="0">
      <items count="7">
        <item x="0"/>
        <item x="1"/>
        <item x="2"/>
        <item x="3"/>
        <item x="5"/>
        <item x="4"/>
        <item t="default"/>
      </items>
    </pivotField>
    <pivotField showAll="0">
      <items count="3">
        <item x="0"/>
        <item x="1"/>
        <item t="default"/>
      </items>
    </pivotField>
    <pivotField showAll="0"/>
    <pivotField showAll="0"/>
  </pivotFields>
  <rowFields count="1">
    <field x="10"/>
  </rowFields>
  <rowItems count="7">
    <i>
      <x/>
    </i>
    <i>
      <x v="1"/>
    </i>
    <i>
      <x v="2"/>
    </i>
    <i>
      <x v="3"/>
    </i>
    <i>
      <x v="4"/>
    </i>
    <i>
      <x v="5"/>
    </i>
    <i t="grand">
      <x/>
    </i>
  </rowItems>
  <colItems count="1">
    <i/>
  </colItems>
  <dataFields count="1">
    <dataField name="Count of Project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9E3225-9A04-4D63-ADAF-117DA1994E58}" name="pvttbl_status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I4" firstHeaderRow="1" firstDataRow="1" firstDataCol="1"/>
  <pivotFields count="14">
    <pivotField dataField="1" showAll="0"/>
    <pivotField showAll="0"/>
    <pivotField showAll="0">
      <items count="4">
        <item x="0"/>
        <item x="2"/>
        <item x="1"/>
        <item t="default"/>
      </items>
    </pivotField>
    <pivotField showAll="0"/>
    <pivotField showAll="0">
      <items count="8">
        <item x="1"/>
        <item x="6"/>
        <item x="2"/>
        <item x="4"/>
        <item x="3"/>
        <item x="0"/>
        <item x="5"/>
        <item t="default"/>
      </items>
    </pivotField>
    <pivotField numFmtId="164" showAll="0"/>
    <pivotField numFmtId="165" showAll="0"/>
    <pivotField numFmtId="165" showAll="0"/>
    <pivotField showAll="0"/>
    <pivotField showAll="0"/>
    <pivotField showAll="0"/>
    <pivotField axis="axisRow" showAll="0">
      <items count="3">
        <item x="0"/>
        <item x="1"/>
        <item t="default"/>
      </items>
    </pivotField>
    <pivotField showAll="0"/>
    <pivotField showAll="0"/>
  </pivotFields>
  <rowFields count="1">
    <field x="11"/>
  </rowFields>
  <rowItems count="3">
    <i>
      <x/>
    </i>
    <i>
      <x v="1"/>
    </i>
    <i t="grand">
      <x/>
    </i>
  </rowItems>
  <colItems count="1">
    <i/>
  </colItems>
  <dataFields count="1">
    <dataField name="Count of Project ID" fld="0" subtotal="count" baseField="0" baseItem="0"/>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81785B-9130-4B7A-9892-589746511625}" name="pvttbl_city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1:T14" firstHeaderRow="1" firstDataRow="1" firstDataCol="1"/>
  <pivotFields count="14">
    <pivotField dataField="1" showAll="0"/>
    <pivotField showAll="0"/>
    <pivotField showAll="0">
      <items count="4">
        <item x="0"/>
        <item x="2"/>
        <item x="1"/>
        <item t="default"/>
      </items>
    </pivotField>
    <pivotField axis="axisRow" showAll="0">
      <items count="13">
        <item x="7"/>
        <item x="6"/>
        <item x="5"/>
        <item x="9"/>
        <item x="0"/>
        <item x="3"/>
        <item x="4"/>
        <item x="8"/>
        <item x="2"/>
        <item x="1"/>
        <item x="10"/>
        <item x="11"/>
        <item t="default"/>
      </items>
    </pivotField>
    <pivotField showAll="0">
      <items count="8">
        <item x="1"/>
        <item x="6"/>
        <item x="2"/>
        <item x="4"/>
        <item x="3"/>
        <item x="0"/>
        <item x="5"/>
        <item t="default"/>
      </items>
    </pivotField>
    <pivotField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Project ID"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7490A-15C4-4535-B567-E36AB2755AF2}" name="pvttbl_Regionwise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14">
    <pivotField dataField="1" showAll="0"/>
    <pivotField showAll="0"/>
    <pivotField axis="axisRow" showAll="0">
      <items count="4">
        <item x="0"/>
        <item x="2"/>
        <item x="1"/>
        <item t="default"/>
      </items>
    </pivotField>
    <pivotField showAll="0"/>
    <pivotField showAll="0">
      <items count="8">
        <item x="1"/>
        <item x="6"/>
        <item x="2"/>
        <item x="4"/>
        <item x="3"/>
        <item x="0"/>
        <item x="5"/>
        <item t="default"/>
      </items>
    </pivotField>
    <pivotField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Fields count="1">
    <field x="2"/>
  </rowFields>
  <rowItems count="4">
    <i>
      <x/>
    </i>
    <i>
      <x v="1"/>
    </i>
    <i>
      <x v="2"/>
    </i>
    <i t="grand">
      <x/>
    </i>
  </rowItems>
  <colItems count="1">
    <i/>
  </colItems>
  <dataFields count="1">
    <dataField name="Count of Project 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A33787-9062-4AF6-8AEC-CF7C8B45A262}" name="pvttbl_customertype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1:P9" firstHeaderRow="1" firstDataRow="1" firstDataCol="1"/>
  <pivotFields count="14">
    <pivotField dataField="1" showAll="0"/>
    <pivotField showAll="0"/>
    <pivotField showAll="0">
      <items count="4">
        <item x="0"/>
        <item x="2"/>
        <item x="1"/>
        <item t="default"/>
      </items>
    </pivotField>
    <pivotField showAll="0"/>
    <pivotField axis="axisRow" showAll="0">
      <items count="8">
        <item x="1"/>
        <item x="6"/>
        <item x="2"/>
        <item x="4"/>
        <item x="3"/>
        <item x="0"/>
        <item x="5"/>
        <item t="default"/>
      </items>
    </pivotField>
    <pivotField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Project ID"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68D08B-8AA6-4366-A99A-8D56ACF902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6:E47" firstHeaderRow="1" firstDataRow="1" firstDataCol="0"/>
  <pivotFields count="14">
    <pivotField showAll="0"/>
    <pivotField showAll="0"/>
    <pivotField showAll="0">
      <items count="4">
        <item x="0"/>
        <item x="2"/>
        <item x="1"/>
        <item t="default"/>
      </items>
    </pivotField>
    <pivotField showAll="0"/>
    <pivotField showAll="0">
      <items count="8">
        <item x="1"/>
        <item x="6"/>
        <item x="2"/>
        <item x="4"/>
        <item x="3"/>
        <item x="0"/>
        <item x="5"/>
        <item t="default"/>
      </items>
    </pivotField>
    <pivotField dataField="1"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Average of Project Value (₹  Lakhs)"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54989A-D70E-4B67-BDE0-DC3041855F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1:B36" firstHeaderRow="1" firstDataRow="1" firstDataCol="1"/>
  <pivotFields count="14">
    <pivotField dataField="1" showAll="0"/>
    <pivotField showAll="0"/>
    <pivotField showAll="0">
      <items count="4">
        <item x="0"/>
        <item x="2"/>
        <item x="1"/>
        <item t="default"/>
      </items>
    </pivotField>
    <pivotField showAll="0"/>
    <pivotField showAll="0">
      <items count="8">
        <item x="1"/>
        <item x="6"/>
        <item x="2"/>
        <item x="4"/>
        <item x="3"/>
        <item x="0"/>
        <item x="5"/>
        <item t="default"/>
      </items>
    </pivotField>
    <pivotField numFmtId="164" showAll="0"/>
    <pivotField numFmtId="165" showAll="0"/>
    <pivotField numFmtId="165" showAll="0"/>
    <pivotField showAll="0"/>
    <pivotField showAll="0"/>
    <pivotField showAll="0"/>
    <pivotField showAll="0">
      <items count="3">
        <item x="0"/>
        <item x="1"/>
        <item t="default"/>
      </items>
    </pivotField>
    <pivotField showAll="0"/>
    <pivotField axis="axisRow" showAll="0">
      <items count="5">
        <item x="1"/>
        <item x="0"/>
        <item x="2"/>
        <item x="3"/>
        <item t="default"/>
      </items>
    </pivotField>
  </pivotFields>
  <rowFields count="1">
    <field x="13"/>
  </rowFields>
  <rowItems count="5">
    <i>
      <x/>
    </i>
    <i>
      <x v="1"/>
    </i>
    <i>
      <x v="2"/>
    </i>
    <i>
      <x v="3"/>
    </i>
    <i t="grand">
      <x/>
    </i>
  </rowItems>
  <colItems count="1">
    <i/>
  </colItems>
  <dataFields count="1">
    <dataField name="Count of Projec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2F0004-6F0E-4988-99F7-8C30B9F23E8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97:E100" firstHeaderRow="1" firstDataRow="1" firstDataCol="1"/>
  <pivotFields count="14">
    <pivotField showAll="0"/>
    <pivotField showAll="0"/>
    <pivotField showAll="0"/>
    <pivotField showAll="0"/>
    <pivotField showAll="0"/>
    <pivotField dataField="1" numFmtId="164" showAll="0"/>
    <pivotField numFmtId="165" showAll="0"/>
    <pivotField numFmtId="165" showAll="0"/>
    <pivotField showAll="0"/>
    <pivotField showAll="0"/>
    <pivotField showAll="0"/>
    <pivotField axis="axisRow" showAll="0">
      <items count="3">
        <item x="0"/>
        <item x="1"/>
        <item t="default"/>
      </items>
    </pivotField>
    <pivotField showAll="0"/>
    <pivotField showAll="0"/>
  </pivotFields>
  <rowFields count="1">
    <field x="11"/>
  </rowFields>
  <rowItems count="3">
    <i>
      <x/>
    </i>
    <i>
      <x v="1"/>
    </i>
    <i t="grand">
      <x/>
    </i>
  </rowItems>
  <colItems count="1">
    <i/>
  </colItems>
  <dataFields count="1">
    <dataField name="Sum of Project Value (₹  Lakhs)" fld="5" baseField="0" baseItem="0" numFmtId="164"/>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1B6BA6-3168-46C5-B332-8860A6BD59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3:E34" firstHeaderRow="1" firstDataRow="1" firstDataCol="0"/>
  <pivotFields count="14">
    <pivotField showAll="0"/>
    <pivotField showAll="0"/>
    <pivotField showAll="0">
      <items count="4">
        <item x="0"/>
        <item x="2"/>
        <item x="1"/>
        <item t="default"/>
      </items>
    </pivotField>
    <pivotField showAll="0"/>
    <pivotField showAll="0">
      <items count="8">
        <item x="1"/>
        <item x="6"/>
        <item x="2"/>
        <item x="4"/>
        <item x="3"/>
        <item x="0"/>
        <item x="5"/>
        <item t="default"/>
      </items>
    </pivotField>
    <pivotField numFmtId="164" showAll="0"/>
    <pivotField numFmtId="165" showAll="0"/>
    <pivotField numFmtId="165" showAll="0"/>
    <pivotField showAll="0"/>
    <pivotField dataField="1" showAll="0"/>
    <pivotField showAll="0"/>
    <pivotField showAll="0">
      <items count="3">
        <item x="0"/>
        <item x="1"/>
        <item t="default"/>
      </items>
    </pivotField>
    <pivotField showAll="0"/>
    <pivotField showAll="0"/>
  </pivotFields>
  <rowItems count="1">
    <i/>
  </rowItems>
  <colItems count="1">
    <i/>
  </colItems>
  <dataFields count="1">
    <dataField name="Average of Delay (Days)" fld="9"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2F5995-0A3E-455D-84A2-A21AEECCB1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50:I53" firstHeaderRow="1" firstDataRow="1" firstDataCol="1"/>
  <pivotFields count="14">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numFmtId="165" showAll="0"/>
    <pivotField numFmtId="165" showAll="0"/>
    <pivotField showAll="0"/>
    <pivotField showAll="0"/>
    <pivotField showAll="0"/>
    <pivotField axis="axisRow" showAll="0">
      <items count="3">
        <item x="0"/>
        <item x="1"/>
        <item t="default"/>
      </items>
    </pivotField>
    <pivotField showAll="0"/>
    <pivotField showAll="0"/>
  </pivotFields>
  <rowFields count="1">
    <field x="11"/>
  </rowFields>
  <rowItems count="3">
    <i>
      <x/>
    </i>
    <i>
      <x v="1"/>
    </i>
    <i t="grand">
      <x/>
    </i>
  </rowItems>
  <colItems count="1">
    <i/>
  </colItems>
  <dataFields count="1">
    <dataField name="Sum of Project Value (₹  Lakhs)" fld="5" baseField="0"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ECCDF35-236A-4D49-BA7D-BCFD880E0D5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6:B362" firstHeaderRow="1" firstDataRow="1" firstDataCol="1"/>
  <pivotFields count="14">
    <pivotField showAll="0"/>
    <pivotField axis="axisRow" showAll="0" sortType="descending">
      <items count="306">
        <item x="5"/>
        <item x="19"/>
        <item x="99"/>
        <item x="179"/>
        <item x="259"/>
        <item x="59"/>
        <item x="139"/>
        <item x="219"/>
        <item x="299"/>
        <item x="79"/>
        <item x="159"/>
        <item x="239"/>
        <item x="49"/>
        <item x="129"/>
        <item x="209"/>
        <item x="289"/>
        <item x="69"/>
        <item x="149"/>
        <item x="229"/>
        <item x="29"/>
        <item x="109"/>
        <item x="189"/>
        <item x="269"/>
        <item x="89"/>
        <item x="169"/>
        <item x="249"/>
        <item x="39"/>
        <item x="119"/>
        <item x="199"/>
        <item x="279"/>
        <item x="18"/>
        <item x="98"/>
        <item x="178"/>
        <item x="258"/>
        <item x="58"/>
        <item x="138"/>
        <item x="218"/>
        <item x="298"/>
        <item x="78"/>
        <item x="158"/>
        <item x="238"/>
        <item x="48"/>
        <item x="128"/>
        <item x="208"/>
        <item x="288"/>
        <item x="68"/>
        <item x="148"/>
        <item x="228"/>
        <item x="28"/>
        <item x="108"/>
        <item x="188"/>
        <item x="268"/>
        <item x="88"/>
        <item x="168"/>
        <item x="248"/>
        <item x="38"/>
        <item x="118"/>
        <item x="198"/>
        <item x="278"/>
        <item x="4"/>
        <item x="1"/>
        <item x="10"/>
        <item x="90"/>
        <item x="170"/>
        <item x="250"/>
        <item x="50"/>
        <item x="130"/>
        <item x="210"/>
        <item x="290"/>
        <item x="70"/>
        <item x="150"/>
        <item x="230"/>
        <item x="40"/>
        <item x="120"/>
        <item x="200"/>
        <item x="280"/>
        <item x="60"/>
        <item x="140"/>
        <item x="220"/>
        <item x="20"/>
        <item x="100"/>
        <item x="180"/>
        <item x="260"/>
        <item x="80"/>
        <item x="160"/>
        <item x="240"/>
        <item x="30"/>
        <item x="110"/>
        <item x="190"/>
        <item x="270"/>
        <item x="13"/>
        <item x="93"/>
        <item x="173"/>
        <item x="253"/>
        <item x="53"/>
        <item x="133"/>
        <item x="213"/>
        <item x="293"/>
        <item x="73"/>
        <item x="153"/>
        <item x="233"/>
        <item x="43"/>
        <item x="123"/>
        <item x="203"/>
        <item x="283"/>
        <item x="63"/>
        <item x="143"/>
        <item x="223"/>
        <item x="6"/>
        <item x="23"/>
        <item x="103"/>
        <item x="183"/>
        <item x="263"/>
        <item x="83"/>
        <item x="163"/>
        <item x="243"/>
        <item x="33"/>
        <item x="113"/>
        <item x="193"/>
        <item x="273"/>
        <item x="14"/>
        <item x="94"/>
        <item x="174"/>
        <item x="254"/>
        <item x="54"/>
        <item x="134"/>
        <item x="214"/>
        <item x="294"/>
        <item x="74"/>
        <item x="154"/>
        <item x="234"/>
        <item x="44"/>
        <item x="124"/>
        <item x="204"/>
        <item x="284"/>
        <item x="64"/>
        <item x="144"/>
        <item x="224"/>
        <item x="24"/>
        <item x="104"/>
        <item x="184"/>
        <item x="264"/>
        <item x="84"/>
        <item x="164"/>
        <item x="244"/>
        <item x="34"/>
        <item x="114"/>
        <item x="194"/>
        <item x="274"/>
        <item x="3"/>
        <item x="2"/>
        <item x="17"/>
        <item x="97"/>
        <item x="177"/>
        <item x="257"/>
        <item x="57"/>
        <item x="137"/>
        <item x="217"/>
        <item x="297"/>
        <item x="77"/>
        <item x="157"/>
        <item x="237"/>
        <item x="47"/>
        <item x="127"/>
        <item x="207"/>
        <item x="287"/>
        <item x="67"/>
        <item x="147"/>
        <item x="227"/>
        <item x="27"/>
        <item x="107"/>
        <item x="187"/>
        <item x="267"/>
        <item x="7"/>
        <item x="87"/>
        <item x="167"/>
        <item x="247"/>
        <item x="37"/>
        <item x="117"/>
        <item x="197"/>
        <item x="277"/>
        <item x="11"/>
        <item x="91"/>
        <item x="171"/>
        <item x="251"/>
        <item x="51"/>
        <item x="131"/>
        <item x="211"/>
        <item x="291"/>
        <item x="71"/>
        <item x="151"/>
        <item x="231"/>
        <item x="41"/>
        <item x="121"/>
        <item x="201"/>
        <item x="281"/>
        <item x="61"/>
        <item x="141"/>
        <item x="221"/>
        <item x="21"/>
        <item x="101"/>
        <item x="181"/>
        <item x="261"/>
        <item x="81"/>
        <item x="161"/>
        <item x="241"/>
        <item x="31"/>
        <item x="111"/>
        <item x="191"/>
        <item x="271"/>
        <item x="16"/>
        <item x="96"/>
        <item x="176"/>
        <item x="256"/>
        <item x="56"/>
        <item x="136"/>
        <item x="216"/>
        <item x="296"/>
        <item x="76"/>
        <item x="156"/>
        <item x="236"/>
        <item x="46"/>
        <item x="126"/>
        <item x="206"/>
        <item x="286"/>
        <item x="66"/>
        <item x="146"/>
        <item x="226"/>
        <item x="26"/>
        <item x="106"/>
        <item x="186"/>
        <item x="266"/>
        <item x="86"/>
        <item x="166"/>
        <item x="246"/>
        <item x="36"/>
        <item x="116"/>
        <item x="196"/>
        <item x="276"/>
        <item x="12"/>
        <item x="92"/>
        <item x="172"/>
        <item x="252"/>
        <item x="52"/>
        <item x="132"/>
        <item x="212"/>
        <item x="292"/>
        <item x="72"/>
        <item x="152"/>
        <item x="232"/>
        <item x="42"/>
        <item x="122"/>
        <item x="202"/>
        <item x="282"/>
        <item x="62"/>
        <item x="142"/>
        <item x="222"/>
        <item x="22"/>
        <item x="102"/>
        <item x="182"/>
        <item x="262"/>
        <item x="0"/>
        <item x="82"/>
        <item x="162"/>
        <item x="242"/>
        <item x="32"/>
        <item x="112"/>
        <item x="192"/>
        <item x="272"/>
        <item x="15"/>
        <item x="95"/>
        <item x="175"/>
        <item x="255"/>
        <item x="55"/>
        <item x="135"/>
        <item x="215"/>
        <item x="295"/>
        <item x="75"/>
        <item x="155"/>
        <item x="235"/>
        <item x="45"/>
        <item x="125"/>
        <item x="205"/>
        <item x="285"/>
        <item x="65"/>
        <item x="145"/>
        <item x="225"/>
        <item x="25"/>
        <item x="105"/>
        <item x="185"/>
        <item x="265"/>
        <item x="85"/>
        <item x="165"/>
        <item x="245"/>
        <item x="9"/>
        <item x="35"/>
        <item x="115"/>
        <item x="195"/>
        <item x="275"/>
        <item x="8"/>
        <item x="300"/>
        <item x="301"/>
        <item x="302"/>
        <item x="303"/>
        <item x="30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numFmtId="165" showAll="0"/>
    <pivotField numFmtId="165" showAll="0"/>
    <pivotField showAll="0"/>
    <pivotField showAll="0"/>
    <pivotField showAll="0"/>
    <pivotField showAll="0"/>
    <pivotField showAll="0"/>
    <pivotField showAll="0"/>
  </pivotFields>
  <rowFields count="1">
    <field x="1"/>
  </rowFields>
  <rowItems count="306">
    <i>
      <x v="301"/>
    </i>
    <i>
      <x v="105"/>
    </i>
    <i>
      <x v="114"/>
    </i>
    <i>
      <x v="110"/>
    </i>
    <i>
      <x v="91"/>
    </i>
    <i>
      <x v="118"/>
    </i>
    <i>
      <x v="92"/>
    </i>
    <i>
      <x v="107"/>
    </i>
    <i>
      <x v="93"/>
    </i>
    <i>
      <x v="112"/>
    </i>
    <i>
      <x v="94"/>
    </i>
    <i>
      <x v="116"/>
    </i>
    <i>
      <x v="95"/>
    </i>
    <i>
      <x v="104"/>
    </i>
    <i>
      <x v="96"/>
    </i>
    <i>
      <x v="106"/>
    </i>
    <i>
      <x v="97"/>
    </i>
    <i>
      <x v="109"/>
    </i>
    <i>
      <x v="98"/>
    </i>
    <i>
      <x v="111"/>
    </i>
    <i>
      <x v="99"/>
    </i>
    <i>
      <x v="113"/>
    </i>
    <i>
      <x v="100"/>
    </i>
    <i>
      <x v="115"/>
    </i>
    <i>
      <x v="101"/>
    </i>
    <i>
      <x v="117"/>
    </i>
    <i>
      <x v="102"/>
    </i>
    <i>
      <x v="90"/>
    </i>
    <i>
      <x v="119"/>
    </i>
    <i>
      <x v="103"/>
    </i>
    <i>
      <x v="149"/>
    </i>
    <i>
      <x v="300"/>
    </i>
    <i>
      <x v="284"/>
    </i>
    <i>
      <x v="292"/>
    </i>
    <i>
      <x v="288"/>
    </i>
    <i>
      <x v="270"/>
    </i>
    <i>
      <x v="297"/>
    </i>
    <i>
      <x v="271"/>
    </i>
    <i>
      <x v="286"/>
    </i>
    <i>
      <x v="272"/>
    </i>
    <i>
      <x v="290"/>
    </i>
    <i>
      <x v="273"/>
    </i>
    <i>
      <x v="295"/>
    </i>
    <i>
      <x v="274"/>
    </i>
    <i>
      <x/>
    </i>
    <i>
      <x v="275"/>
    </i>
    <i>
      <x v="285"/>
    </i>
    <i>
      <x v="276"/>
    </i>
    <i>
      <x v="287"/>
    </i>
    <i>
      <x v="277"/>
    </i>
    <i>
      <x v="289"/>
    </i>
    <i>
      <x v="278"/>
    </i>
    <i>
      <x v="291"/>
    </i>
    <i>
      <x v="279"/>
    </i>
    <i>
      <x v="293"/>
    </i>
    <i>
      <x v="280"/>
    </i>
    <i>
      <x v="296"/>
    </i>
    <i>
      <x v="281"/>
    </i>
    <i>
      <x v="269"/>
    </i>
    <i>
      <x v="298"/>
    </i>
    <i>
      <x v="282"/>
    </i>
    <i>
      <x v="283"/>
    </i>
    <i>
      <x v="304"/>
    </i>
    <i>
      <x v="40"/>
    </i>
    <i>
      <x v="48"/>
    </i>
    <i>
      <x v="44"/>
    </i>
    <i>
      <x v="30"/>
    </i>
    <i>
      <x v="52"/>
    </i>
    <i>
      <x v="31"/>
    </i>
    <i>
      <x v="42"/>
    </i>
    <i>
      <x v="58"/>
    </i>
    <i>
      <x v="46"/>
    </i>
    <i>
      <x v="299"/>
    </i>
    <i>
      <x v="50"/>
    </i>
    <i>
      <x v="57"/>
    </i>
    <i>
      <x v="54"/>
    </i>
    <i>
      <x v="55"/>
    </i>
    <i>
      <x v="41"/>
    </i>
    <i>
      <x v="32"/>
    </i>
    <i>
      <x v="43"/>
    </i>
    <i>
      <x v="33"/>
    </i>
    <i>
      <x v="45"/>
    </i>
    <i>
      <x v="34"/>
    </i>
    <i>
      <x v="47"/>
    </i>
    <i>
      <x v="35"/>
    </i>
    <i>
      <x v="49"/>
    </i>
    <i>
      <x v="36"/>
    </i>
    <i>
      <x v="51"/>
    </i>
    <i>
      <x v="37"/>
    </i>
    <i>
      <x v="53"/>
    </i>
    <i>
      <x v="38"/>
    </i>
    <i>
      <x v="39"/>
    </i>
    <i>
      <x v="56"/>
    </i>
    <i>
      <x v="302"/>
    </i>
    <i>
      <x v="249"/>
    </i>
    <i>
      <x v="257"/>
    </i>
    <i>
      <x v="253"/>
    </i>
    <i>
      <x v="265"/>
    </i>
    <i>
      <x v="150"/>
    </i>
    <i>
      <x v="266"/>
    </i>
    <i>
      <x v="251"/>
    </i>
    <i>
      <x v="267"/>
    </i>
    <i>
      <x v="255"/>
    </i>
    <i>
      <x v="268"/>
    </i>
    <i>
      <x v="259"/>
    </i>
    <i>
      <x v="239"/>
    </i>
    <i>
      <x v="248"/>
    </i>
    <i>
      <x v="240"/>
    </i>
    <i>
      <x v="250"/>
    </i>
    <i>
      <x v="241"/>
    </i>
    <i>
      <x v="252"/>
    </i>
    <i>
      <x v="242"/>
    </i>
    <i>
      <x v="254"/>
    </i>
    <i>
      <x v="243"/>
    </i>
    <i>
      <x v="256"/>
    </i>
    <i>
      <x v="244"/>
    </i>
    <i>
      <x v="258"/>
    </i>
    <i>
      <x v="245"/>
    </i>
    <i>
      <x v="260"/>
    </i>
    <i>
      <x v="246"/>
    </i>
    <i>
      <x v="264"/>
    </i>
    <i>
      <x v="263"/>
    </i>
    <i>
      <x v="262"/>
    </i>
    <i>
      <x v="247"/>
    </i>
    <i>
      <x v="135"/>
    </i>
    <i>
      <x v="143"/>
    </i>
    <i>
      <x v="139"/>
    </i>
    <i>
      <x v="122"/>
    </i>
    <i>
      <x v="147"/>
    </i>
    <i>
      <x v="123"/>
    </i>
    <i>
      <x v="137"/>
    </i>
    <i>
      <x v="59"/>
    </i>
    <i>
      <x v="141"/>
    </i>
    <i>
      <x v="124"/>
    </i>
    <i>
      <x v="145"/>
    </i>
    <i>
      <x v="125"/>
    </i>
    <i>
      <x v="120"/>
    </i>
    <i>
      <x v="126"/>
    </i>
    <i>
      <x v="136"/>
    </i>
    <i>
      <x v="127"/>
    </i>
    <i>
      <x v="138"/>
    </i>
    <i>
      <x v="128"/>
    </i>
    <i>
      <x v="140"/>
    </i>
    <i>
      <x v="129"/>
    </i>
    <i>
      <x v="142"/>
    </i>
    <i>
      <x v="130"/>
    </i>
    <i>
      <x v="144"/>
    </i>
    <i>
      <x v="131"/>
    </i>
    <i>
      <x v="146"/>
    </i>
    <i>
      <x v="132"/>
    </i>
    <i>
      <x v="148"/>
    </i>
    <i>
      <x v="133"/>
    </i>
    <i>
      <x v="121"/>
    </i>
    <i>
      <x v="134"/>
    </i>
    <i>
      <x v="303"/>
    </i>
    <i>
      <x v="4"/>
    </i>
    <i>
      <x v="12"/>
    </i>
    <i>
      <x v="8"/>
    </i>
    <i>
      <x v="16"/>
    </i>
    <i>
      <x v="14"/>
    </i>
    <i>
      <x v="17"/>
    </i>
    <i>
      <x v="6"/>
    </i>
    <i>
      <x v="18"/>
    </i>
    <i>
      <x v="10"/>
    </i>
    <i>
      <x v="19"/>
    </i>
    <i>
      <x v="2"/>
    </i>
    <i>
      <x v="20"/>
    </i>
    <i>
      <x v="29"/>
    </i>
    <i>
      <x v="21"/>
    </i>
    <i>
      <x v="5"/>
    </i>
    <i>
      <x v="22"/>
    </i>
    <i>
      <x v="7"/>
    </i>
    <i>
      <x v="23"/>
    </i>
    <i>
      <x v="9"/>
    </i>
    <i>
      <x v="24"/>
    </i>
    <i>
      <x v="11"/>
    </i>
    <i>
      <x v="25"/>
    </i>
    <i>
      <x v="13"/>
    </i>
    <i>
      <x v="26"/>
    </i>
    <i>
      <x v="294"/>
    </i>
    <i>
      <x v="27"/>
    </i>
    <i>
      <x v="15"/>
    </i>
    <i>
      <x v="28"/>
    </i>
    <i>
      <x v="3"/>
    </i>
    <i>
      <x v="1"/>
    </i>
    <i>
      <x v="231"/>
    </i>
    <i>
      <x v="212"/>
    </i>
    <i>
      <x v="235"/>
    </i>
    <i>
      <x v="217"/>
    </i>
    <i>
      <x v="216"/>
    </i>
    <i>
      <x v="218"/>
    </i>
    <i>
      <x v="233"/>
    </i>
    <i>
      <x v="219"/>
    </i>
    <i>
      <x v="237"/>
    </i>
    <i>
      <x v="220"/>
    </i>
    <i>
      <x v="214"/>
    </i>
    <i>
      <x v="221"/>
    </i>
    <i>
      <x v="230"/>
    </i>
    <i>
      <x v="108"/>
    </i>
    <i>
      <x v="232"/>
    </i>
    <i>
      <x v="211"/>
    </i>
    <i>
      <x v="234"/>
    </i>
    <i>
      <x v="224"/>
    </i>
    <i>
      <x v="236"/>
    </i>
    <i>
      <x v="225"/>
    </i>
    <i>
      <x v="238"/>
    </i>
    <i>
      <x v="226"/>
    </i>
    <i>
      <x v="213"/>
    </i>
    <i>
      <x v="227"/>
    </i>
    <i>
      <x v="215"/>
    </i>
    <i>
      <x v="228"/>
    </i>
    <i>
      <x v="229"/>
    </i>
    <i>
      <x v="222"/>
    </i>
    <i>
      <x v="223"/>
    </i>
    <i>
      <x v="210"/>
    </i>
    <i>
      <x v="203"/>
    </i>
    <i>
      <x v="183"/>
    </i>
    <i>
      <x v="207"/>
    </i>
    <i>
      <x v="189"/>
    </i>
    <i>
      <x v="186"/>
    </i>
    <i>
      <x v="190"/>
    </i>
    <i>
      <x v="205"/>
    </i>
    <i>
      <x v="191"/>
    </i>
    <i>
      <x v="209"/>
    </i>
    <i>
      <x v="192"/>
    </i>
    <i>
      <x v="60"/>
    </i>
    <i>
      <x v="193"/>
    </i>
    <i>
      <x v="188"/>
    </i>
    <i>
      <x v="194"/>
    </i>
    <i>
      <x v="204"/>
    </i>
    <i>
      <x v="195"/>
    </i>
    <i>
      <x v="206"/>
    </i>
    <i>
      <x v="181"/>
    </i>
    <i>
      <x v="208"/>
    </i>
    <i>
      <x v="197"/>
    </i>
    <i>
      <x v="182"/>
    </i>
    <i>
      <x v="198"/>
    </i>
    <i>
      <x v="184"/>
    </i>
    <i>
      <x v="199"/>
    </i>
    <i>
      <x v="185"/>
    </i>
    <i>
      <x v="200"/>
    </i>
    <i>
      <x v="187"/>
    </i>
    <i>
      <x v="201"/>
    </i>
    <i>
      <x v="202"/>
    </i>
    <i>
      <x v="196"/>
    </i>
    <i>
      <x v="177"/>
    </i>
    <i>
      <x v="157"/>
    </i>
    <i>
      <x v="153"/>
    </i>
    <i>
      <x v="163"/>
    </i>
    <i>
      <x v="161"/>
    </i>
    <i>
      <x v="164"/>
    </i>
    <i>
      <x v="179"/>
    </i>
    <i>
      <x v="151"/>
    </i>
    <i>
      <x v="155"/>
    </i>
    <i>
      <x v="166"/>
    </i>
    <i>
      <x v="159"/>
    </i>
    <i>
      <x v="167"/>
    </i>
    <i>
      <x v="176"/>
    </i>
    <i>
      <x v="168"/>
    </i>
    <i>
      <x v="178"/>
    </i>
    <i>
      <x v="169"/>
    </i>
    <i>
      <x v="180"/>
    </i>
    <i>
      <x v="170"/>
    </i>
    <i>
      <x v="154"/>
    </i>
    <i>
      <x v="171"/>
    </i>
    <i>
      <x v="156"/>
    </i>
    <i>
      <x v="172"/>
    </i>
    <i>
      <x v="158"/>
    </i>
    <i>
      <x v="173"/>
    </i>
    <i>
      <x v="160"/>
    </i>
    <i>
      <x v="174"/>
    </i>
    <i>
      <x v="162"/>
    </i>
    <i>
      <x v="175"/>
    </i>
    <i>
      <x v="165"/>
    </i>
    <i>
      <x v="152"/>
    </i>
    <i>
      <x v="86"/>
    </i>
    <i>
      <x v="64"/>
    </i>
    <i>
      <x v="89"/>
    </i>
    <i>
      <x v="72"/>
    </i>
    <i>
      <x v="68"/>
    </i>
    <i>
      <x v="73"/>
    </i>
    <i>
      <x v="87"/>
    </i>
    <i>
      <x v="74"/>
    </i>
    <i>
      <x v="62"/>
    </i>
    <i>
      <x v="75"/>
    </i>
    <i>
      <x v="66"/>
    </i>
    <i>
      <x v="76"/>
    </i>
    <i>
      <x v="70"/>
    </i>
    <i>
      <x v="77"/>
    </i>
    <i>
      <x v="261"/>
    </i>
    <i>
      <x v="78"/>
    </i>
    <i>
      <x v="88"/>
    </i>
    <i>
      <x v="79"/>
    </i>
    <i>
      <x v="61"/>
    </i>
    <i>
      <x v="80"/>
    </i>
    <i>
      <x v="63"/>
    </i>
    <i>
      <x v="81"/>
    </i>
    <i>
      <x v="65"/>
    </i>
    <i>
      <x v="82"/>
    </i>
    <i>
      <x v="67"/>
    </i>
    <i>
      <x v="83"/>
    </i>
    <i>
      <x v="69"/>
    </i>
    <i>
      <x v="84"/>
    </i>
    <i>
      <x v="71"/>
    </i>
    <i>
      <x v="85"/>
    </i>
    <i t="grand">
      <x/>
    </i>
  </rowItems>
  <colItems count="1">
    <i/>
  </colItems>
  <dataFields count="1">
    <dataField name="Sum of Project Value (₹  Lakhs)" fld="5" baseField="1" baseItem="3"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303A736-69A4-4F63-ACE9-375E8CB3B6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E42" firstHeaderRow="1" firstDataRow="1" firstDataCol="0"/>
  <pivotFields count="14">
    <pivotField showAll="0"/>
    <pivotField showAll="0"/>
    <pivotField showAll="0">
      <items count="4">
        <item x="0"/>
        <item x="2"/>
        <item x="1"/>
        <item t="default"/>
      </items>
    </pivotField>
    <pivotField showAll="0"/>
    <pivotField showAll="0">
      <items count="8">
        <item x="1"/>
        <item x="6"/>
        <item x="2"/>
        <item x="4"/>
        <item x="3"/>
        <item x="0"/>
        <item x="5"/>
        <item t="default"/>
      </items>
    </pivotField>
    <pivotField dataField="1" numFmtId="164" showAll="0"/>
    <pivotField numFmtId="165" showAll="0"/>
    <pivotField numFmtId="165"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Project Value (₹  Lakhs)"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9F7E73-CEC1-46DA-9B01-CB72537BE2D1}" sourceName="Region">
  <pivotTables>
    <pivotTable tabId="4" name="pvttbl_Regionwisecount"/>
    <pivotTable tabId="4" name="pvttbl_installationstge"/>
    <pivotTable tabId="4" name="pvttbl_statuswise"/>
    <pivotTable tabId="4" name="pvttbl_HOstatus"/>
    <pivotTable tabId="4" name="pvttbl_customertypewise"/>
    <pivotTable tabId="4" name="pvttbl_citywise"/>
    <pivotTable tabId="4" name="PivotTable2"/>
    <pivotTable tabId="4" name="PivotTable1"/>
    <pivotTable tabId="4" name="PivotTable3"/>
    <pivotTable tabId="4" name="PivotTable4"/>
    <pivotTable tabId="4" name="PivotTable5"/>
    <pivotTable tabId="4" name="PivotTable6"/>
  </pivotTables>
  <data>
    <tabular pivotCacheId="18165803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D7CEBDA-67CE-48EB-892D-456D331C8FBA}" sourceName="Status">
  <pivotTables>
    <pivotTable tabId="4" name="pvttbl_Regionwisecount"/>
    <pivotTable tabId="4" name="pvttbl_installationstge"/>
    <pivotTable tabId="4" name="pvttbl_statuswise"/>
    <pivotTable tabId="4" name="pvttbl_HOstatus"/>
    <pivotTable tabId="4" name="pvttbl_customertypewise"/>
    <pivotTable tabId="4" name="pvttbl_citywise"/>
    <pivotTable tabId="4" name="PivotTable2"/>
    <pivotTable tabId="4" name="PivotTable1"/>
    <pivotTable tabId="4" name="PivotTable3"/>
    <pivotTable tabId="4" name="PivotTable4"/>
    <pivotTable tabId="4" name="PivotTable5"/>
    <pivotTable tabId="4" name="PivotTable6"/>
  </pivotTables>
  <data>
    <tabular pivotCacheId="1816580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8065660-3987-4C85-87EA-B1AED4503BED}" sourceName="Customer Type">
  <pivotTables>
    <pivotTable tabId="4" name="pvttbl_Regionwisecount"/>
    <pivotTable tabId="4" name="pvttbl_installationstge"/>
    <pivotTable tabId="4" name="pvttbl_statuswise"/>
    <pivotTable tabId="4" name="pvttbl_HOstatus"/>
    <pivotTable tabId="4" name="pvttbl_customertypewise"/>
    <pivotTable tabId="4" name="pvttbl_citywise"/>
    <pivotTable tabId="4" name="PivotTable2"/>
    <pivotTable tabId="4" name="PivotTable1"/>
    <pivotTable tabId="4" name="PivotTable3"/>
    <pivotTable tabId="4" name="PivotTable4"/>
    <pivotTable tabId="4" name="PivotTable5"/>
    <pivotTable tabId="4" name="PivotTable6"/>
  </pivotTables>
  <data>
    <tabular pivotCacheId="181658030">
      <items count="7">
        <i x="1" s="1"/>
        <i x="6" s="1"/>
        <i x="2" s="1"/>
        <i x="4"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5AC2A9-253E-4763-BBF2-EF6129A2165E}" cache="Slicer_Region" caption="Region" columnCount="2" rowHeight="241300"/>
  <slicer name="Status" xr10:uid="{A682F959-033C-4AE5-9CD4-58D244F05828}" cache="Slicer_Status" caption="Status" columnCount="2" rowHeight="241300"/>
  <slicer name="Customer Type" xr10:uid="{73C4C2B9-0141-46F2-90DE-23E0A9A0ABBA}" cache="Slicer_Customer_Type" caption="Customer Typ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4319D-F1E9-488E-B318-493B47E74851}" name="tbl_ProjectData" displayName="tbl_ProjectData" ref="A1:N306" totalsRowShown="0" headerRowDxfId="18" dataDxfId="17">
  <autoFilter ref="A1:N306" xr:uid="{EDB4319D-F1E9-488E-B318-493B47E74851}"/>
  <tableColumns count="14">
    <tableColumn id="1" xr3:uid="{52C131DA-3C3E-4938-AF67-1D03B9E07E39}" name="Project ID" dataDxfId="16"/>
    <tableColumn id="2" xr3:uid="{01F77092-5B2F-4AB3-8D5C-7350598B93B9}" name="Project Name" dataDxfId="15"/>
    <tableColumn id="3" xr3:uid="{1B980A2D-CFF5-4DDA-8EA6-92167AA7562C}" name="Region" dataDxfId="14"/>
    <tableColumn id="4" xr3:uid="{AF5AE065-CD7E-4EDB-BEA7-8B0EEC9BEA2D}" name="City" dataDxfId="13"/>
    <tableColumn id="5" xr3:uid="{0E39A6C2-2647-466B-AE15-052C717A90F4}" name="Customer Type" dataDxfId="12"/>
    <tableColumn id="6" xr3:uid="{83353117-6175-40D3-A3C4-B9C390DF3FF5}" name="Project Value (₹  Lakhs)" dataDxfId="11"/>
    <tableColumn id="7" xr3:uid="{7F3B8F62-E4DD-44F4-981C-ED8C3B2F959E}" name="Start Date" dataDxfId="10"/>
    <tableColumn id="8" xr3:uid="{969DB54B-1C46-4492-8485-D7DB147B6DC5}" name="Planned Completion" dataDxfId="9"/>
    <tableColumn id="9" xr3:uid="{793161A5-E7F5-4910-9C58-B1E8BE60D240}" name="Actual Completion" dataDxfId="8"/>
    <tableColumn id="10" xr3:uid="{458DF11A-A83E-41DD-9AC1-11A0800AEEC7}" name="Delay (Days)" dataDxfId="7">
      <calculatedColumnFormula>IF(I2="","",I2-H2)</calculatedColumnFormula>
    </tableColumn>
    <tableColumn id="11" xr3:uid="{3DC93C1E-8A89-4238-8E8F-608A25A0458A}" name="Installation Stage" dataDxfId="6"/>
    <tableColumn id="12" xr3:uid="{592448E5-7BEE-408E-8973-1571E8EAD36D}" name="Status" dataDxfId="5"/>
    <tableColumn id="13" xr3:uid="{E42D4D59-3F2A-46E2-8059-AFFCD9367738}" name="Handover Status" dataDxfId="4"/>
    <tableColumn id="14" xr3:uid="{2E235DF6-6F7B-4A08-8EF9-5E5A04DDB6D3}" name="Delay Status" dataDxfId="3">
      <calculatedColumnFormula>IF(I2="","In Progress",IF(J2&gt;0,"Delayed",IF(J2=0,"On Time","Early")))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T312"/>
  <sheetViews>
    <sheetView zoomScale="78" zoomScaleNormal="55" workbookViewId="0">
      <selection activeCell="R17" sqref="R17"/>
    </sheetView>
  </sheetViews>
  <sheetFormatPr defaultColWidth="19.90625" defaultRowHeight="14.5" x14ac:dyDescent="0.35"/>
  <cols>
    <col min="1" max="1" width="14" style="3" bestFit="1" customWidth="1"/>
    <col min="2" max="2" width="33.08984375" style="8" customWidth="1"/>
    <col min="3" max="3" width="14.7265625" style="3" bestFit="1" customWidth="1"/>
    <col min="4" max="4" width="14.54296875" style="3" customWidth="1"/>
    <col min="5" max="5" width="20.36328125" style="3" bestFit="1" customWidth="1"/>
    <col min="6" max="6" width="25.08984375" style="3" bestFit="1" customWidth="1"/>
    <col min="7" max="7" width="14.36328125" style="6" bestFit="1" customWidth="1"/>
    <col min="8" max="8" width="27" style="6" bestFit="1" customWidth="1"/>
    <col min="9" max="9" width="24.90625" style="6" bestFit="1" customWidth="1"/>
    <col min="10" max="10" width="16.81640625" style="3" bestFit="1" customWidth="1"/>
    <col min="11" max="11" width="24.36328125" style="3" bestFit="1" customWidth="1"/>
    <col min="12" max="12" width="14.1796875" style="3" customWidth="1"/>
    <col min="13" max="13" width="22.26953125" style="3" bestFit="1" customWidth="1"/>
    <col min="14" max="15" width="19.90625" style="3"/>
    <col min="16" max="16" width="15.81640625" style="3" bestFit="1" customWidth="1"/>
    <col min="17" max="17" width="17" style="3" bestFit="1" customWidth="1"/>
    <col min="18" max="18" width="27" style="3" bestFit="1" customWidth="1"/>
    <col min="19" max="16384" width="19.90625" style="3"/>
  </cols>
  <sheetData>
    <row r="1" spans="1:20" s="2" customFormat="1" x14ac:dyDescent="0.35">
      <c r="A1" s="1" t="s">
        <v>0</v>
      </c>
      <c r="B1" s="7" t="s">
        <v>1</v>
      </c>
      <c r="C1" s="1" t="s">
        <v>2</v>
      </c>
      <c r="D1" s="1" t="s">
        <v>3</v>
      </c>
      <c r="E1" s="1" t="s">
        <v>4</v>
      </c>
      <c r="F1" s="1" t="s">
        <v>67</v>
      </c>
      <c r="G1" s="5" t="s">
        <v>5</v>
      </c>
      <c r="H1" s="5" t="s">
        <v>6</v>
      </c>
      <c r="I1" s="5" t="s">
        <v>7</v>
      </c>
      <c r="J1" s="1" t="s">
        <v>8</v>
      </c>
      <c r="K1" s="1" t="s">
        <v>9</v>
      </c>
      <c r="L1" s="1" t="s">
        <v>10</v>
      </c>
      <c r="M1" s="1" t="s">
        <v>11</v>
      </c>
      <c r="N1" s="1" t="s">
        <v>80</v>
      </c>
      <c r="P1" s="2" t="s">
        <v>413</v>
      </c>
      <c r="Q1" s="2" t="s">
        <v>414</v>
      </c>
    </row>
    <row r="2" spans="1:20" x14ac:dyDescent="0.35">
      <c r="A2" s="3" t="s">
        <v>47</v>
      </c>
      <c r="B2" s="8" t="s">
        <v>57</v>
      </c>
      <c r="C2" s="3" t="s">
        <v>43</v>
      </c>
      <c r="D2" s="3" t="s">
        <v>13</v>
      </c>
      <c r="E2" s="3" t="s">
        <v>21</v>
      </c>
      <c r="F2" s="4">
        <v>18</v>
      </c>
      <c r="G2" s="6">
        <v>46024</v>
      </c>
      <c r="H2" s="6">
        <v>46127</v>
      </c>
      <c r="I2" s="6">
        <v>46124</v>
      </c>
      <c r="J2" s="3">
        <f>IF(I2="","",I2-H2)</f>
        <v>-3</v>
      </c>
      <c r="K2" s="3" t="s">
        <v>32</v>
      </c>
      <c r="L2" s="3" t="s">
        <v>36</v>
      </c>
      <c r="M2" s="3" t="s">
        <v>36</v>
      </c>
      <c r="N2" s="3" t="str">
        <f t="shared" ref="N2:N65" si="0">IF(I2="","In Progress",IF(J2&gt;0,"Delayed",IF(J2=0,"On Time","Early")))</f>
        <v>Early</v>
      </c>
      <c r="O2" s="3">
        <f>COUNTIF(A2:A306,A2)</f>
        <v>1</v>
      </c>
      <c r="P2" s="3">
        <f>COUNTIF($A$2:$A$306,A2)</f>
        <v>1</v>
      </c>
      <c r="Q2" s="3">
        <f>COUNTBLANK(A2:A306)</f>
        <v>0</v>
      </c>
      <c r="R2" s="3" t="s">
        <v>416</v>
      </c>
    </row>
    <row r="3" spans="1:20" x14ac:dyDescent="0.35">
      <c r="A3" s="3" t="s">
        <v>48</v>
      </c>
      <c r="B3" s="8" t="s">
        <v>58</v>
      </c>
      <c r="C3" s="3" t="s">
        <v>43</v>
      </c>
      <c r="D3" s="3" t="s">
        <v>13</v>
      </c>
      <c r="E3" s="3" t="s">
        <v>25</v>
      </c>
      <c r="F3" s="4">
        <v>24</v>
      </c>
      <c r="G3" s="6">
        <v>46032</v>
      </c>
      <c r="H3" s="6">
        <v>46167</v>
      </c>
      <c r="I3" s="6">
        <v>46172</v>
      </c>
      <c r="J3" s="3">
        <f t="shared" ref="J3:J12" si="1">IF(I3="","",I3-H3)</f>
        <v>5</v>
      </c>
      <c r="K3" s="3" t="s">
        <v>32</v>
      </c>
      <c r="L3" s="3" t="s">
        <v>36</v>
      </c>
      <c r="M3" s="3" t="s">
        <v>36</v>
      </c>
      <c r="N3" s="3" t="str">
        <f t="shared" si="0"/>
        <v>Delayed</v>
      </c>
      <c r="P3" s="3">
        <f t="shared" ref="P3:P66" si="2">COUNTIF($A$2:$A$306,A3)</f>
        <v>1</v>
      </c>
      <c r="Q3" s="3">
        <f>COUNTBLANK(A2:A307)</f>
        <v>1</v>
      </c>
      <c r="R3" s="3" t="s">
        <v>415</v>
      </c>
    </row>
    <row r="4" spans="1:20" x14ac:dyDescent="0.35">
      <c r="A4" s="3" t="s">
        <v>49</v>
      </c>
      <c r="B4" s="8" t="s">
        <v>59</v>
      </c>
      <c r="C4" s="3" t="s">
        <v>44</v>
      </c>
      <c r="D4" s="3" t="s">
        <v>14</v>
      </c>
      <c r="E4" s="3" t="s">
        <v>23</v>
      </c>
      <c r="F4" s="4">
        <v>42</v>
      </c>
      <c r="G4" s="6">
        <v>46040</v>
      </c>
      <c r="H4" s="6">
        <v>46203</v>
      </c>
      <c r="I4" s="6">
        <v>46201</v>
      </c>
      <c r="J4" s="3">
        <f t="shared" si="1"/>
        <v>-2</v>
      </c>
      <c r="K4" s="3" t="s">
        <v>32</v>
      </c>
      <c r="L4" s="3" t="s">
        <v>36</v>
      </c>
      <c r="M4" s="3" t="s">
        <v>36</v>
      </c>
      <c r="N4" s="3" t="str">
        <f t="shared" si="0"/>
        <v>Early</v>
      </c>
      <c r="P4" s="3">
        <f t="shared" si="2"/>
        <v>1</v>
      </c>
    </row>
    <row r="5" spans="1:20" x14ac:dyDescent="0.35">
      <c r="A5" s="3" t="s">
        <v>50</v>
      </c>
      <c r="B5" s="8" t="s">
        <v>60</v>
      </c>
      <c r="C5" s="3" t="s">
        <v>43</v>
      </c>
      <c r="D5" s="3" t="s">
        <v>13</v>
      </c>
      <c r="E5" s="3" t="s">
        <v>26</v>
      </c>
      <c r="F5" s="4">
        <v>65</v>
      </c>
      <c r="G5" s="6">
        <v>46054</v>
      </c>
      <c r="H5" s="6">
        <v>46233</v>
      </c>
      <c r="J5" s="3" t="str">
        <f t="shared" si="1"/>
        <v/>
      </c>
      <c r="K5" s="3" t="s">
        <v>28</v>
      </c>
      <c r="L5" s="3" t="s">
        <v>35</v>
      </c>
      <c r="M5" s="3" t="s">
        <v>38</v>
      </c>
      <c r="N5" s="3" t="str">
        <f t="shared" si="0"/>
        <v>In Progress</v>
      </c>
      <c r="P5" s="3">
        <f t="shared" si="2"/>
        <v>1</v>
      </c>
      <c r="S5"/>
      <c r="T5"/>
    </row>
    <row r="6" spans="1:20" x14ac:dyDescent="0.35">
      <c r="A6" s="3" t="s">
        <v>51</v>
      </c>
      <c r="B6" s="8" t="s">
        <v>65</v>
      </c>
      <c r="C6" s="3" t="s">
        <v>43</v>
      </c>
      <c r="D6" s="3" t="s">
        <v>16</v>
      </c>
      <c r="E6" s="3" t="s">
        <v>24</v>
      </c>
      <c r="F6" s="4">
        <v>38</v>
      </c>
      <c r="G6" s="6">
        <v>46061</v>
      </c>
      <c r="H6" s="6">
        <v>46188</v>
      </c>
      <c r="I6" s="6">
        <v>46195</v>
      </c>
      <c r="J6" s="3">
        <f t="shared" si="1"/>
        <v>7</v>
      </c>
      <c r="K6" s="3" t="s">
        <v>32</v>
      </c>
      <c r="L6" s="3" t="s">
        <v>36</v>
      </c>
      <c r="M6" s="3" t="s">
        <v>36</v>
      </c>
      <c r="N6" s="3" t="str">
        <f t="shared" si="0"/>
        <v>Delayed</v>
      </c>
      <c r="P6" s="3">
        <f t="shared" si="2"/>
        <v>1</v>
      </c>
      <c r="S6"/>
      <c r="T6"/>
    </row>
    <row r="7" spans="1:20" x14ac:dyDescent="0.35">
      <c r="A7" s="3" t="s">
        <v>52</v>
      </c>
      <c r="B7" s="8" t="s">
        <v>61</v>
      </c>
      <c r="C7" s="3" t="s">
        <v>43</v>
      </c>
      <c r="D7" s="3" t="s">
        <v>13</v>
      </c>
      <c r="E7" s="3" t="s">
        <v>42</v>
      </c>
      <c r="F7" s="4">
        <v>55</v>
      </c>
      <c r="G7" s="6">
        <v>46068</v>
      </c>
      <c r="H7" s="6">
        <v>46264</v>
      </c>
      <c r="J7" s="3" t="str">
        <f t="shared" si="1"/>
        <v/>
      </c>
      <c r="K7" s="3" t="s">
        <v>27</v>
      </c>
      <c r="L7" s="3" t="s">
        <v>35</v>
      </c>
      <c r="M7" s="3" t="s">
        <v>38</v>
      </c>
      <c r="N7" s="3" t="str">
        <f t="shared" si="0"/>
        <v>In Progress</v>
      </c>
      <c r="O7" s="3">
        <f>COUNTIFS(tbl_ProjectData[Region],"North Kerala",tbl_ProjectData[Status],"Completed",tbl_ProjectData[Delay Status],"Delayed")</f>
        <v>1</v>
      </c>
      <c r="P7" s="3">
        <f t="shared" si="2"/>
        <v>1</v>
      </c>
      <c r="R7"/>
      <c r="S7"/>
      <c r="T7"/>
    </row>
    <row r="8" spans="1:20" x14ac:dyDescent="0.35">
      <c r="A8" s="3" t="s">
        <v>53</v>
      </c>
      <c r="B8" s="8" t="s">
        <v>66</v>
      </c>
      <c r="C8" s="3" t="s">
        <v>44</v>
      </c>
      <c r="D8" s="3" t="s">
        <v>19</v>
      </c>
      <c r="E8" s="3" t="s">
        <v>21</v>
      </c>
      <c r="F8" s="4">
        <v>27</v>
      </c>
      <c r="G8" s="6">
        <v>46042</v>
      </c>
      <c r="H8" s="6">
        <v>46162</v>
      </c>
      <c r="I8" s="6">
        <v>46160</v>
      </c>
      <c r="J8" s="3">
        <f t="shared" si="1"/>
        <v>-2</v>
      </c>
      <c r="K8" s="3" t="s">
        <v>32</v>
      </c>
      <c r="L8" s="3" t="s">
        <v>36</v>
      </c>
      <c r="M8" s="3" t="s">
        <v>36</v>
      </c>
      <c r="N8" s="3" t="str">
        <f t="shared" si="0"/>
        <v>Early</v>
      </c>
      <c r="P8" s="3">
        <f t="shared" si="2"/>
        <v>1</v>
      </c>
      <c r="R8"/>
      <c r="S8"/>
      <c r="T8"/>
    </row>
    <row r="9" spans="1:20" x14ac:dyDescent="0.35">
      <c r="A9" s="3" t="s">
        <v>54</v>
      </c>
      <c r="B9" s="8" t="s">
        <v>62</v>
      </c>
      <c r="C9" s="3" t="s">
        <v>12</v>
      </c>
      <c r="D9" s="3" t="s">
        <v>15</v>
      </c>
      <c r="E9" s="3" t="s">
        <v>21</v>
      </c>
      <c r="F9" s="4">
        <v>21</v>
      </c>
      <c r="G9" s="6">
        <v>46086</v>
      </c>
      <c r="H9" s="6">
        <v>46203</v>
      </c>
      <c r="I9" s="6">
        <v>46208</v>
      </c>
      <c r="J9" s="3">
        <f t="shared" si="1"/>
        <v>5</v>
      </c>
      <c r="K9" s="3" t="s">
        <v>32</v>
      </c>
      <c r="L9" s="3" t="s">
        <v>36</v>
      </c>
      <c r="M9" s="3" t="s">
        <v>36</v>
      </c>
      <c r="N9" s="3" t="str">
        <f t="shared" si="0"/>
        <v>Delayed</v>
      </c>
      <c r="P9" s="3">
        <f t="shared" si="2"/>
        <v>1</v>
      </c>
      <c r="R9"/>
      <c r="S9"/>
      <c r="T9"/>
    </row>
    <row r="10" spans="1:20" x14ac:dyDescent="0.35">
      <c r="A10" s="3" t="s">
        <v>55</v>
      </c>
      <c r="B10" s="8" t="s">
        <v>63</v>
      </c>
      <c r="C10" s="3" t="s">
        <v>43</v>
      </c>
      <c r="D10" s="3" t="s">
        <v>13</v>
      </c>
      <c r="E10" s="3" t="s">
        <v>26</v>
      </c>
      <c r="F10" s="4">
        <v>48</v>
      </c>
      <c r="G10" s="6">
        <v>46065</v>
      </c>
      <c r="H10" s="6">
        <v>46218</v>
      </c>
      <c r="I10" s="6">
        <v>46217</v>
      </c>
      <c r="J10" s="3">
        <f t="shared" si="1"/>
        <v>-1</v>
      </c>
      <c r="K10" s="3" t="s">
        <v>32</v>
      </c>
      <c r="L10" s="3" t="s">
        <v>36</v>
      </c>
      <c r="M10" s="3" t="s">
        <v>36</v>
      </c>
      <c r="N10" s="3" t="str">
        <f t="shared" si="0"/>
        <v>Early</v>
      </c>
      <c r="P10" s="3">
        <f t="shared" si="2"/>
        <v>1</v>
      </c>
      <c r="R10"/>
      <c r="S10"/>
      <c r="T10"/>
    </row>
    <row r="11" spans="1:20" x14ac:dyDescent="0.35">
      <c r="A11" s="3" t="s">
        <v>56</v>
      </c>
      <c r="B11" s="8" t="s">
        <v>64</v>
      </c>
      <c r="C11" s="3" t="s">
        <v>12</v>
      </c>
      <c r="D11" s="3" t="s">
        <v>45</v>
      </c>
      <c r="E11" s="3" t="s">
        <v>22</v>
      </c>
      <c r="F11" s="4">
        <v>32</v>
      </c>
      <c r="G11" s="6">
        <v>46113</v>
      </c>
      <c r="H11" s="6">
        <v>46295</v>
      </c>
      <c r="J11" s="3" t="str">
        <f t="shared" si="1"/>
        <v/>
      </c>
      <c r="K11" s="3" t="s">
        <v>46</v>
      </c>
      <c r="L11" s="3" t="s">
        <v>35</v>
      </c>
      <c r="M11" s="3" t="s">
        <v>38</v>
      </c>
      <c r="N11" s="3" t="str">
        <f t="shared" si="0"/>
        <v>In Progress</v>
      </c>
      <c r="P11" s="3">
        <f t="shared" si="2"/>
        <v>1</v>
      </c>
      <c r="R11">
        <f>COUNTIF(L2:L306,"Completed")</f>
        <v>58</v>
      </c>
      <c r="S11" t="s">
        <v>36</v>
      </c>
      <c r="T11"/>
    </row>
    <row r="12" spans="1:20" x14ac:dyDescent="0.35">
      <c r="A12" s="3" t="str">
        <f>"PRJ"&amp;TEXT(ROW()-1,"000")</f>
        <v>PRJ011</v>
      </c>
      <c r="B12" s="8" t="str">
        <f>CHOOSE(MOD(ROW()-2,10)+1,"Green Valley","Royal Palm","Skyline","Harmony","Lakeside","Sunrise","Silver Oak","River View","Golden Gate","Emerald")&amp;" "&amp;CHOOSE(MOD(INT((ROW()-2)/10),8)+1,"Residency","Apartments","Heights","Towers","Enclave","Business Centre","Grand Hotel","Care Hospital")&amp;" "&amp;TEXT(ROW()-1,"000")</f>
        <v>Green Valley Apartments 011</v>
      </c>
      <c r="C12" s="3" t="str">
        <f>CHOOSE(MOD(ROW()-2,3)+1,"North Kerala","Central Kerala","South Kerala")</f>
        <v>Central Kerala</v>
      </c>
      <c r="D12" s="3" t="str">
        <f>IF(C12="North Kerala",CHOOSE(MOD(ROW()-2,4)+1,"Kannur","Kozhikode","Wayanad","Kasaragod"),IF(C12="Central Kerala",CHOOSE(MOD(ROW()-2,6)+1,"Kochi","Thrissur","Kottayam","Palakkad","Idukki","Alappuzha"),CHOOSE(MOD(ROW()-2,4)+1,"Trivandrum","Kollam","Pathanamthitta","Alappuzha")))</f>
        <v>Idukki</v>
      </c>
      <c r="E12" s="3" t="str">
        <f>CHOOSE(MOD(ROW()-2,6)+1,"Residential","Apartment","Hospital","Office","Hotel","Commercial")</f>
        <v>Hotel</v>
      </c>
      <c r="F12" s="4">
        <f>CHOOSE(MOD(ROW()-2,10)+1,18,24,42,65,38,55,27,21,48,32)</f>
        <v>18</v>
      </c>
      <c r="G12" s="6">
        <f>DATE(2026,1,1)+MOD((ROW()-12)*7,180)</f>
        <v>46023</v>
      </c>
      <c r="H12" s="6">
        <f>G12+CHOOSE(MOD(ROW()-2,5)+1,90,120,150,180,210)</f>
        <v>46113</v>
      </c>
      <c r="I12" s="6">
        <f>IF(MOD(ROW()-2,4)=0,"",H12+CHOOSE(MOD(ROW()-2,5)+1,-5,0,7,-2,10))</f>
        <v>46108</v>
      </c>
      <c r="J12" s="3">
        <f t="shared" si="1"/>
        <v>-5</v>
      </c>
      <c r="K12" s="3" t="str">
        <f>CHOOSE(MOD(ROW()-2,6)+1,"Material Ordered","Material Delivered","Installation Started","Mechanical Completion","Testing &amp; Commissioning","Handover")</f>
        <v>Testing &amp; Commissioning</v>
      </c>
      <c r="L12" s="3" t="str">
        <f>IF(K12="Handover","Completed","In Progress")</f>
        <v>In Progress</v>
      </c>
      <c r="M12" s="3" t="str">
        <f>IF(K12="Handover","Completed","Pending")</f>
        <v>Pending</v>
      </c>
      <c r="N12" s="3" t="str">
        <f t="shared" si="0"/>
        <v>Early</v>
      </c>
      <c r="P12" s="3">
        <f t="shared" si="2"/>
        <v>1</v>
      </c>
      <c r="R12">
        <f>COUNTIF(L2:L306,"In Progress")</f>
        <v>247</v>
      </c>
      <c r="S12" t="s">
        <v>35</v>
      </c>
      <c r="T12"/>
    </row>
    <row r="13" spans="1:20" x14ac:dyDescent="0.35">
      <c r="A13" s="3" t="str">
        <f t="shared" ref="A13:A76" si="3">"PRJ"&amp;TEXT(ROW()-1,"000")</f>
        <v>PRJ012</v>
      </c>
      <c r="B13" s="8" t="str">
        <f t="shared" ref="B13:B76" si="4">CHOOSE(MOD(ROW()-2,10)+1,"Green Valley","Royal Palm","Skyline","Harmony","Lakeside","Sunrise","Silver Oak","River View","Golden Gate","Emerald")&amp;" "&amp;CHOOSE(MOD(INT((ROW()-2)/10),8)+1,"Residency","Apartments","Heights","Towers","Enclave","Business Centre","Grand Hotel","Care Hospital")&amp;" "&amp;TEXT(ROW()-1,"000")</f>
        <v>Royal Palm Apartments 012</v>
      </c>
      <c r="C13" s="3" t="str">
        <f t="shared" ref="C13:C76" si="5">CHOOSE(MOD(ROW()-2,3)+1,"North Kerala","Central Kerala","South Kerala")</f>
        <v>South Kerala</v>
      </c>
      <c r="D13" s="3" t="str">
        <f t="shared" ref="D13:D76" si="6">IF(C13="North Kerala",CHOOSE(MOD(ROW()-2,4)+1,"Kannur","Kozhikode","Wayanad","Kasaragod"),IF(C13="Central Kerala",CHOOSE(MOD(ROW()-2,6)+1,"Kochi","Thrissur","Kottayam","Palakkad","Idukki","Alappuzha"),CHOOSE(MOD(ROW()-2,4)+1,"Trivandrum","Kollam","Pathanamthitta","Alappuzha")))</f>
        <v>Alappuzha</v>
      </c>
      <c r="E13" s="3" t="str">
        <f t="shared" ref="E13:E76" si="7">CHOOSE(MOD(ROW()-2,6)+1,"Residential","Apartment","Hospital","Office","Hotel","Commercial")</f>
        <v>Commercial</v>
      </c>
      <c r="F13" s="4">
        <f t="shared" ref="F13:F76" si="8">CHOOSE(MOD(ROW()-2,10)+1,18,24,42,65,38,55,27,21,48,32)</f>
        <v>24</v>
      </c>
      <c r="G13" s="6">
        <f t="shared" ref="G13:G76" si="9">DATE(2026,1,1)+MOD((ROW()-12)*7,180)</f>
        <v>46030</v>
      </c>
      <c r="H13" s="6">
        <f t="shared" ref="H13:H76" si="10">G13+CHOOSE(MOD(ROW()-2,5)+1,90,120,150,180,210)</f>
        <v>46150</v>
      </c>
      <c r="I13" s="6">
        <f t="shared" ref="I13:I76" si="11">IF(MOD(ROW()-2,4)=0,"",H13+CHOOSE(MOD(ROW()-2,5)+1,-5,0,7,-2,10))</f>
        <v>46150</v>
      </c>
      <c r="J13" s="3">
        <f t="shared" ref="J13:J76" si="12">IF(I13="","",I13-H13)</f>
        <v>0</v>
      </c>
      <c r="K13" s="3" t="str">
        <f t="shared" ref="K13:K76" si="13">CHOOSE(MOD(ROW()-2,6)+1,"Material Ordered","Material Delivered","Installation Started","Mechanical Completion","Testing &amp; Commissioning","Handover")</f>
        <v>Handover</v>
      </c>
      <c r="L13" s="3" t="str">
        <f t="shared" ref="L13:L76" si="14">IF(K13="Handover","Completed","In Progress")</f>
        <v>Completed</v>
      </c>
      <c r="M13" s="3" t="str">
        <f t="shared" ref="M13:M76" si="15">IF(K13="Handover","Completed","Pending")</f>
        <v>Completed</v>
      </c>
      <c r="N13" s="3" t="str">
        <f t="shared" si="0"/>
        <v>On Time</v>
      </c>
      <c r="P13" s="3">
        <f t="shared" si="2"/>
        <v>1</v>
      </c>
      <c r="R13">
        <f>COUNTIF(E2:E306,"Hospital")</f>
        <v>50</v>
      </c>
      <c r="S13" t="s">
        <v>417</v>
      </c>
      <c r="T13"/>
    </row>
    <row r="14" spans="1:20" x14ac:dyDescent="0.35">
      <c r="A14" s="3" t="str">
        <f t="shared" si="3"/>
        <v>PRJ013</v>
      </c>
      <c r="B14" s="8" t="str">
        <f t="shared" si="4"/>
        <v>Skyline Apartments 013</v>
      </c>
      <c r="C14" s="3" t="str">
        <f t="shared" si="5"/>
        <v>North Kerala</v>
      </c>
      <c r="D14" s="3" t="str">
        <f t="shared" si="6"/>
        <v>Kannur</v>
      </c>
      <c r="E14" s="3" t="str">
        <f t="shared" si="7"/>
        <v>Residential</v>
      </c>
      <c r="F14" s="4">
        <f t="shared" si="8"/>
        <v>42</v>
      </c>
      <c r="G14" s="6">
        <f t="shared" si="9"/>
        <v>46037</v>
      </c>
      <c r="H14" s="6">
        <f t="shared" si="10"/>
        <v>46187</v>
      </c>
      <c r="I14" s="6" t="str">
        <f t="shared" si="11"/>
        <v/>
      </c>
      <c r="J14" s="3" t="str">
        <f t="shared" si="12"/>
        <v/>
      </c>
      <c r="K14" s="3" t="str">
        <f t="shared" si="13"/>
        <v>Material Ordered</v>
      </c>
      <c r="L14" s="3" t="str">
        <f t="shared" si="14"/>
        <v>In Progress</v>
      </c>
      <c r="M14" s="3" t="str">
        <f t="shared" si="15"/>
        <v>Pending</v>
      </c>
      <c r="N14" s="3" t="str">
        <f t="shared" si="0"/>
        <v>In Progress</v>
      </c>
      <c r="P14" s="3">
        <f t="shared" si="2"/>
        <v>1</v>
      </c>
      <c r="R14">
        <f>COUNTA(E2:E306)</f>
        <v>305</v>
      </c>
      <c r="S14"/>
      <c r="T14"/>
    </row>
    <row r="15" spans="1:20" x14ac:dyDescent="0.35">
      <c r="A15" s="3" t="str">
        <f t="shared" si="3"/>
        <v>PRJ014</v>
      </c>
      <c r="B15" s="8" t="str">
        <f t="shared" si="4"/>
        <v>Harmony Apartments 014</v>
      </c>
      <c r="C15" s="3" t="str">
        <f t="shared" si="5"/>
        <v>Central Kerala</v>
      </c>
      <c r="D15" s="3" t="str">
        <f t="shared" si="6"/>
        <v>Thrissur</v>
      </c>
      <c r="E15" s="3" t="str">
        <f t="shared" si="7"/>
        <v>Apartment</v>
      </c>
      <c r="F15" s="4">
        <f t="shared" si="8"/>
        <v>65</v>
      </c>
      <c r="G15" s="6">
        <f t="shared" si="9"/>
        <v>46044</v>
      </c>
      <c r="H15" s="6">
        <f t="shared" si="10"/>
        <v>46224</v>
      </c>
      <c r="I15" s="6">
        <f t="shared" si="11"/>
        <v>46222</v>
      </c>
      <c r="J15" s="3">
        <f t="shared" si="12"/>
        <v>-2</v>
      </c>
      <c r="K15" s="3" t="str">
        <f t="shared" si="13"/>
        <v>Material Delivered</v>
      </c>
      <c r="L15" s="3" t="str">
        <f t="shared" si="14"/>
        <v>In Progress</v>
      </c>
      <c r="M15" s="3" t="str">
        <f t="shared" si="15"/>
        <v>Pending</v>
      </c>
      <c r="N15" s="3" t="str">
        <f t="shared" si="0"/>
        <v>Early</v>
      </c>
      <c r="P15" s="3">
        <f t="shared" si="2"/>
        <v>1</v>
      </c>
      <c r="R15">
        <f>COUNTBLANK(A2:A306)</f>
        <v>0</v>
      </c>
      <c r="S15"/>
      <c r="T15"/>
    </row>
    <row r="16" spans="1:20" x14ac:dyDescent="0.35">
      <c r="A16" s="3" t="str">
        <f t="shared" si="3"/>
        <v>PRJ015</v>
      </c>
      <c r="B16" s="8" t="str">
        <f t="shared" si="4"/>
        <v>Lakeside Apartments 015</v>
      </c>
      <c r="C16" s="3" t="str">
        <f t="shared" si="5"/>
        <v>South Kerala</v>
      </c>
      <c r="D16" s="3" t="str">
        <f t="shared" si="6"/>
        <v>Pathanamthitta</v>
      </c>
      <c r="E16" s="3" t="str">
        <f t="shared" si="7"/>
        <v>Hospital</v>
      </c>
      <c r="F16" s="4">
        <f t="shared" si="8"/>
        <v>38</v>
      </c>
      <c r="G16" s="6">
        <f t="shared" si="9"/>
        <v>46051</v>
      </c>
      <c r="H16" s="6">
        <f t="shared" si="10"/>
        <v>46261</v>
      </c>
      <c r="I16" s="6">
        <f t="shared" si="11"/>
        <v>46271</v>
      </c>
      <c r="J16" s="3">
        <f t="shared" si="12"/>
        <v>10</v>
      </c>
      <c r="K16" s="3" t="str">
        <f t="shared" si="13"/>
        <v>Installation Started</v>
      </c>
      <c r="L16" s="3" t="str">
        <f t="shared" si="14"/>
        <v>In Progress</v>
      </c>
      <c r="M16" s="3" t="str">
        <f t="shared" si="15"/>
        <v>Pending</v>
      </c>
      <c r="N16" s="3" t="str">
        <f t="shared" si="0"/>
        <v>Delayed</v>
      </c>
      <c r="P16" s="3">
        <f t="shared" si="2"/>
        <v>1</v>
      </c>
      <c r="R16">
        <f>COUNTBLANK(L2:L306)</f>
        <v>0</v>
      </c>
      <c r="S16"/>
      <c r="T16"/>
    </row>
    <row r="17" spans="1:20" x14ac:dyDescent="0.35">
      <c r="A17" s="3" t="str">
        <f t="shared" si="3"/>
        <v>PRJ016</v>
      </c>
      <c r="B17" s="8" t="str">
        <f t="shared" si="4"/>
        <v>Sunrise Apartments 016</v>
      </c>
      <c r="C17" s="3" t="str">
        <f t="shared" si="5"/>
        <v>North Kerala</v>
      </c>
      <c r="D17" s="3" t="str">
        <f t="shared" si="6"/>
        <v>Kasaragod</v>
      </c>
      <c r="E17" s="3" t="str">
        <f t="shared" si="7"/>
        <v>Office</v>
      </c>
      <c r="F17" s="4">
        <f t="shared" si="8"/>
        <v>55</v>
      </c>
      <c r="G17" s="6">
        <f t="shared" si="9"/>
        <v>46058</v>
      </c>
      <c r="H17" s="6">
        <f t="shared" si="10"/>
        <v>46148</v>
      </c>
      <c r="I17" s="6">
        <f t="shared" si="11"/>
        <v>46143</v>
      </c>
      <c r="J17" s="3">
        <f t="shared" si="12"/>
        <v>-5</v>
      </c>
      <c r="K17" s="3" t="str">
        <f t="shared" si="13"/>
        <v>Mechanical Completion</v>
      </c>
      <c r="L17" s="3" t="str">
        <f t="shared" si="14"/>
        <v>In Progress</v>
      </c>
      <c r="M17" s="3" t="str">
        <f t="shared" si="15"/>
        <v>Pending</v>
      </c>
      <c r="N17" s="3" t="str">
        <f t="shared" si="0"/>
        <v>Early</v>
      </c>
      <c r="P17" s="3">
        <f t="shared" si="2"/>
        <v>1</v>
      </c>
      <c r="R17"/>
      <c r="S17"/>
      <c r="T17"/>
    </row>
    <row r="18" spans="1:20" x14ac:dyDescent="0.35">
      <c r="A18" s="3" t="str">
        <f t="shared" si="3"/>
        <v>PRJ017</v>
      </c>
      <c r="B18" s="8" t="str">
        <f t="shared" si="4"/>
        <v>Silver Oak Apartments 017</v>
      </c>
      <c r="C18" s="3" t="str">
        <f t="shared" si="5"/>
        <v>Central Kerala</v>
      </c>
      <c r="D18" s="3" t="str">
        <f t="shared" si="6"/>
        <v>Idukki</v>
      </c>
      <c r="E18" s="3" t="str">
        <f t="shared" si="7"/>
        <v>Hotel</v>
      </c>
      <c r="F18" s="4">
        <f t="shared" si="8"/>
        <v>27</v>
      </c>
      <c r="G18" s="6">
        <f t="shared" si="9"/>
        <v>46065</v>
      </c>
      <c r="H18" s="6">
        <f t="shared" si="10"/>
        <v>46185</v>
      </c>
      <c r="I18" s="6" t="str">
        <f t="shared" si="11"/>
        <v/>
      </c>
      <c r="J18" s="3" t="str">
        <f t="shared" si="12"/>
        <v/>
      </c>
      <c r="K18" s="3" t="str">
        <f t="shared" si="13"/>
        <v>Testing &amp; Commissioning</v>
      </c>
      <c r="L18" s="3" t="str">
        <f t="shared" si="14"/>
        <v>In Progress</v>
      </c>
      <c r="M18" s="3" t="str">
        <f t="shared" si="15"/>
        <v>Pending</v>
      </c>
      <c r="N18" s="3" t="str">
        <f t="shared" si="0"/>
        <v>In Progress</v>
      </c>
      <c r="P18" s="3">
        <f t="shared" si="2"/>
        <v>1</v>
      </c>
      <c r="R18"/>
      <c r="S18"/>
      <c r="T18"/>
    </row>
    <row r="19" spans="1:20" x14ac:dyDescent="0.35">
      <c r="A19" s="3" t="str">
        <f t="shared" si="3"/>
        <v>PRJ018</v>
      </c>
      <c r="B19" s="8" t="str">
        <f t="shared" si="4"/>
        <v>River View Apartments 018</v>
      </c>
      <c r="C19" s="3" t="str">
        <f t="shared" si="5"/>
        <v>South Kerala</v>
      </c>
      <c r="D19" s="3" t="str">
        <f t="shared" si="6"/>
        <v>Kollam</v>
      </c>
      <c r="E19" s="3" t="str">
        <f t="shared" si="7"/>
        <v>Commercial</v>
      </c>
      <c r="F19" s="4">
        <f t="shared" si="8"/>
        <v>21</v>
      </c>
      <c r="G19" s="6">
        <f t="shared" si="9"/>
        <v>46072</v>
      </c>
      <c r="H19" s="6">
        <f t="shared" si="10"/>
        <v>46222</v>
      </c>
      <c r="I19" s="6">
        <f t="shared" si="11"/>
        <v>46229</v>
      </c>
      <c r="J19" s="3">
        <f t="shared" si="12"/>
        <v>7</v>
      </c>
      <c r="K19" s="3" t="str">
        <f t="shared" si="13"/>
        <v>Handover</v>
      </c>
      <c r="L19" s="3" t="str">
        <f t="shared" si="14"/>
        <v>Completed</v>
      </c>
      <c r="M19" s="3" t="str">
        <f t="shared" si="15"/>
        <v>Completed</v>
      </c>
      <c r="N19" s="3" t="str">
        <f t="shared" si="0"/>
        <v>Delayed</v>
      </c>
      <c r="P19" s="3">
        <f t="shared" si="2"/>
        <v>1</v>
      </c>
      <c r="R19"/>
      <c r="S19"/>
      <c r="T19"/>
    </row>
    <row r="20" spans="1:20" x14ac:dyDescent="0.35">
      <c r="A20" s="3" t="str">
        <f t="shared" si="3"/>
        <v>PRJ019</v>
      </c>
      <c r="B20" s="8" t="str">
        <f t="shared" si="4"/>
        <v>Golden Gate Apartments 019</v>
      </c>
      <c r="C20" s="3" t="str">
        <f t="shared" si="5"/>
        <v>North Kerala</v>
      </c>
      <c r="D20" s="3" t="str">
        <f t="shared" si="6"/>
        <v>Wayanad</v>
      </c>
      <c r="E20" s="3" t="str">
        <f t="shared" si="7"/>
        <v>Residential</v>
      </c>
      <c r="F20" s="4">
        <f t="shared" si="8"/>
        <v>48</v>
      </c>
      <c r="G20" s="6">
        <f t="shared" si="9"/>
        <v>46079</v>
      </c>
      <c r="H20" s="6">
        <f t="shared" si="10"/>
        <v>46259</v>
      </c>
      <c r="I20" s="6">
        <f t="shared" si="11"/>
        <v>46257</v>
      </c>
      <c r="J20" s="3">
        <f t="shared" si="12"/>
        <v>-2</v>
      </c>
      <c r="K20" s="3" t="str">
        <f t="shared" si="13"/>
        <v>Material Ordered</v>
      </c>
      <c r="L20" s="3" t="str">
        <f t="shared" si="14"/>
        <v>In Progress</v>
      </c>
      <c r="M20" s="3" t="str">
        <f t="shared" si="15"/>
        <v>Pending</v>
      </c>
      <c r="N20" s="3" t="str">
        <f t="shared" si="0"/>
        <v>Early</v>
      </c>
      <c r="P20" s="3">
        <f t="shared" si="2"/>
        <v>1</v>
      </c>
      <c r="R20"/>
      <c r="S20"/>
      <c r="T20"/>
    </row>
    <row r="21" spans="1:20" x14ac:dyDescent="0.35">
      <c r="A21" s="3" t="str">
        <f t="shared" si="3"/>
        <v>PRJ020</v>
      </c>
      <c r="B21" s="8" t="str">
        <f t="shared" si="4"/>
        <v>Emerald Apartments 020</v>
      </c>
      <c r="C21" s="3" t="str">
        <f t="shared" si="5"/>
        <v>Central Kerala</v>
      </c>
      <c r="D21" s="3" t="str">
        <f t="shared" si="6"/>
        <v>Thrissur</v>
      </c>
      <c r="E21" s="3" t="str">
        <f t="shared" si="7"/>
        <v>Apartment</v>
      </c>
      <c r="F21" s="4">
        <f t="shared" si="8"/>
        <v>32</v>
      </c>
      <c r="G21" s="6">
        <f t="shared" si="9"/>
        <v>46086</v>
      </c>
      <c r="H21" s="6">
        <f t="shared" si="10"/>
        <v>46296</v>
      </c>
      <c r="I21" s="6">
        <f t="shared" si="11"/>
        <v>46306</v>
      </c>
      <c r="J21" s="3">
        <f t="shared" si="12"/>
        <v>10</v>
      </c>
      <c r="K21" s="3" t="str">
        <f t="shared" si="13"/>
        <v>Material Delivered</v>
      </c>
      <c r="L21" s="3" t="str">
        <f t="shared" si="14"/>
        <v>In Progress</v>
      </c>
      <c r="M21" s="3" t="str">
        <f t="shared" si="15"/>
        <v>Pending</v>
      </c>
      <c r="N21" s="3" t="str">
        <f t="shared" si="0"/>
        <v>Delayed</v>
      </c>
      <c r="P21" s="3">
        <f t="shared" si="2"/>
        <v>1</v>
      </c>
      <c r="R21"/>
      <c r="S21"/>
      <c r="T21"/>
    </row>
    <row r="22" spans="1:20" x14ac:dyDescent="0.35">
      <c r="A22" s="3" t="str">
        <f t="shared" si="3"/>
        <v>PRJ021</v>
      </c>
      <c r="B22" s="8" t="str">
        <f t="shared" si="4"/>
        <v>Green Valley Heights 021</v>
      </c>
      <c r="C22" s="3" t="str">
        <f t="shared" si="5"/>
        <v>South Kerala</v>
      </c>
      <c r="D22" s="3" t="str">
        <f t="shared" si="6"/>
        <v>Trivandrum</v>
      </c>
      <c r="E22" s="3" t="str">
        <f t="shared" si="7"/>
        <v>Hospital</v>
      </c>
      <c r="F22" s="4">
        <f t="shared" si="8"/>
        <v>18</v>
      </c>
      <c r="G22" s="6">
        <f t="shared" si="9"/>
        <v>46093</v>
      </c>
      <c r="H22" s="6">
        <f t="shared" si="10"/>
        <v>46183</v>
      </c>
      <c r="I22" s="6" t="str">
        <f t="shared" si="11"/>
        <v/>
      </c>
      <c r="J22" s="3" t="str">
        <f t="shared" si="12"/>
        <v/>
      </c>
      <c r="K22" s="3" t="str">
        <f t="shared" si="13"/>
        <v>Installation Started</v>
      </c>
      <c r="L22" s="3" t="str">
        <f t="shared" si="14"/>
        <v>In Progress</v>
      </c>
      <c r="M22" s="3" t="str">
        <f t="shared" si="15"/>
        <v>Pending</v>
      </c>
      <c r="N22" s="3" t="str">
        <f t="shared" si="0"/>
        <v>In Progress</v>
      </c>
      <c r="P22" s="3">
        <f t="shared" si="2"/>
        <v>1</v>
      </c>
      <c r="R22"/>
      <c r="S22"/>
      <c r="T22"/>
    </row>
    <row r="23" spans="1:20" x14ac:dyDescent="0.35">
      <c r="A23" s="3" t="str">
        <f t="shared" si="3"/>
        <v>PRJ022</v>
      </c>
      <c r="B23" s="8" t="str">
        <f t="shared" si="4"/>
        <v>Royal Palm Heights 022</v>
      </c>
      <c r="C23" s="3" t="str">
        <f t="shared" si="5"/>
        <v>North Kerala</v>
      </c>
      <c r="D23" s="3" t="str">
        <f t="shared" si="6"/>
        <v>Kozhikode</v>
      </c>
      <c r="E23" s="3" t="str">
        <f t="shared" si="7"/>
        <v>Office</v>
      </c>
      <c r="F23" s="4">
        <f t="shared" si="8"/>
        <v>24</v>
      </c>
      <c r="G23" s="6">
        <f t="shared" si="9"/>
        <v>46100</v>
      </c>
      <c r="H23" s="6">
        <f t="shared" si="10"/>
        <v>46220</v>
      </c>
      <c r="I23" s="6">
        <f t="shared" si="11"/>
        <v>46220</v>
      </c>
      <c r="J23" s="3">
        <f t="shared" si="12"/>
        <v>0</v>
      </c>
      <c r="K23" s="3" t="str">
        <f t="shared" si="13"/>
        <v>Mechanical Completion</v>
      </c>
      <c r="L23" s="3" t="str">
        <f t="shared" si="14"/>
        <v>In Progress</v>
      </c>
      <c r="M23" s="3" t="str">
        <f t="shared" si="15"/>
        <v>Pending</v>
      </c>
      <c r="N23" s="3" t="str">
        <f t="shared" si="0"/>
        <v>On Time</v>
      </c>
      <c r="P23" s="3">
        <f t="shared" si="2"/>
        <v>1</v>
      </c>
    </row>
    <row r="24" spans="1:20" x14ac:dyDescent="0.35">
      <c r="A24" s="3" t="str">
        <f t="shared" si="3"/>
        <v>PRJ023</v>
      </c>
      <c r="B24" s="8" t="str">
        <f t="shared" si="4"/>
        <v>Skyline Heights 023</v>
      </c>
      <c r="C24" s="3" t="str">
        <f t="shared" si="5"/>
        <v>Central Kerala</v>
      </c>
      <c r="D24" s="3" t="str">
        <f t="shared" si="6"/>
        <v>Idukki</v>
      </c>
      <c r="E24" s="3" t="str">
        <f t="shared" si="7"/>
        <v>Hotel</v>
      </c>
      <c r="F24" s="4">
        <f t="shared" si="8"/>
        <v>42</v>
      </c>
      <c r="G24" s="6">
        <f t="shared" si="9"/>
        <v>46107</v>
      </c>
      <c r="H24" s="6">
        <f t="shared" si="10"/>
        <v>46257</v>
      </c>
      <c r="I24" s="6">
        <f t="shared" si="11"/>
        <v>46264</v>
      </c>
      <c r="J24" s="3">
        <f t="shared" si="12"/>
        <v>7</v>
      </c>
      <c r="K24" s="3" t="str">
        <f t="shared" si="13"/>
        <v>Testing &amp; Commissioning</v>
      </c>
      <c r="L24" s="3" t="str">
        <f t="shared" si="14"/>
        <v>In Progress</v>
      </c>
      <c r="M24" s="3" t="str">
        <f t="shared" si="15"/>
        <v>Pending</v>
      </c>
      <c r="N24" s="3" t="str">
        <f t="shared" si="0"/>
        <v>Delayed</v>
      </c>
      <c r="P24" s="3">
        <f t="shared" si="2"/>
        <v>1</v>
      </c>
    </row>
    <row r="25" spans="1:20" x14ac:dyDescent="0.35">
      <c r="A25" s="3" t="str">
        <f t="shared" si="3"/>
        <v>PRJ024</v>
      </c>
      <c r="B25" s="8" t="str">
        <f t="shared" si="4"/>
        <v>Harmony Heights 024</v>
      </c>
      <c r="C25" s="3" t="str">
        <f t="shared" si="5"/>
        <v>South Kerala</v>
      </c>
      <c r="D25" s="3" t="str">
        <f t="shared" si="6"/>
        <v>Alappuzha</v>
      </c>
      <c r="E25" s="3" t="str">
        <f t="shared" si="7"/>
        <v>Commercial</v>
      </c>
      <c r="F25" s="4">
        <f t="shared" si="8"/>
        <v>65</v>
      </c>
      <c r="G25" s="6">
        <f t="shared" si="9"/>
        <v>46114</v>
      </c>
      <c r="H25" s="6">
        <f t="shared" si="10"/>
        <v>46294</v>
      </c>
      <c r="I25" s="6">
        <f t="shared" si="11"/>
        <v>46292</v>
      </c>
      <c r="J25" s="3">
        <f t="shared" si="12"/>
        <v>-2</v>
      </c>
      <c r="K25" s="3" t="str">
        <f t="shared" si="13"/>
        <v>Handover</v>
      </c>
      <c r="L25" s="3" t="str">
        <f t="shared" si="14"/>
        <v>Completed</v>
      </c>
      <c r="M25" s="3" t="str">
        <f t="shared" si="15"/>
        <v>Completed</v>
      </c>
      <c r="N25" s="3" t="str">
        <f t="shared" si="0"/>
        <v>Early</v>
      </c>
      <c r="P25" s="3">
        <f t="shared" si="2"/>
        <v>1</v>
      </c>
    </row>
    <row r="26" spans="1:20" x14ac:dyDescent="0.35">
      <c r="A26" s="3" t="str">
        <f t="shared" si="3"/>
        <v>PRJ025</v>
      </c>
      <c r="B26" s="8" t="str">
        <f t="shared" si="4"/>
        <v>Lakeside Heights 025</v>
      </c>
      <c r="C26" s="3" t="str">
        <f t="shared" si="5"/>
        <v>North Kerala</v>
      </c>
      <c r="D26" s="3" t="str">
        <f t="shared" si="6"/>
        <v>Kannur</v>
      </c>
      <c r="E26" s="3" t="str">
        <f t="shared" si="7"/>
        <v>Residential</v>
      </c>
      <c r="F26" s="4">
        <f t="shared" si="8"/>
        <v>38</v>
      </c>
      <c r="G26" s="6">
        <f t="shared" si="9"/>
        <v>46121</v>
      </c>
      <c r="H26" s="6">
        <f t="shared" si="10"/>
        <v>46331</v>
      </c>
      <c r="I26" s="6" t="str">
        <f t="shared" si="11"/>
        <v/>
      </c>
      <c r="J26" s="3" t="str">
        <f t="shared" si="12"/>
        <v/>
      </c>
      <c r="K26" s="3" t="str">
        <f t="shared" si="13"/>
        <v>Material Ordered</v>
      </c>
      <c r="L26" s="3" t="str">
        <f t="shared" si="14"/>
        <v>In Progress</v>
      </c>
      <c r="M26" s="3" t="str">
        <f t="shared" si="15"/>
        <v>Pending</v>
      </c>
      <c r="N26" s="3" t="str">
        <f t="shared" si="0"/>
        <v>In Progress</v>
      </c>
      <c r="P26" s="3">
        <f t="shared" si="2"/>
        <v>1</v>
      </c>
    </row>
    <row r="27" spans="1:20" x14ac:dyDescent="0.35">
      <c r="A27" s="3" t="str">
        <f t="shared" si="3"/>
        <v>PRJ026</v>
      </c>
      <c r="B27" s="8" t="str">
        <f t="shared" si="4"/>
        <v>Sunrise Heights 026</v>
      </c>
      <c r="C27" s="3" t="str">
        <f t="shared" si="5"/>
        <v>Central Kerala</v>
      </c>
      <c r="D27" s="3" t="str">
        <f t="shared" si="6"/>
        <v>Thrissur</v>
      </c>
      <c r="E27" s="3" t="str">
        <f t="shared" si="7"/>
        <v>Apartment</v>
      </c>
      <c r="F27" s="4">
        <f t="shared" si="8"/>
        <v>55</v>
      </c>
      <c r="G27" s="6">
        <f t="shared" si="9"/>
        <v>46128</v>
      </c>
      <c r="H27" s="6">
        <f t="shared" si="10"/>
        <v>46218</v>
      </c>
      <c r="I27" s="6">
        <f t="shared" si="11"/>
        <v>46213</v>
      </c>
      <c r="J27" s="3">
        <f t="shared" si="12"/>
        <v>-5</v>
      </c>
      <c r="K27" s="3" t="str">
        <f t="shared" si="13"/>
        <v>Material Delivered</v>
      </c>
      <c r="L27" s="3" t="str">
        <f t="shared" si="14"/>
        <v>In Progress</v>
      </c>
      <c r="M27" s="3" t="str">
        <f t="shared" si="15"/>
        <v>Pending</v>
      </c>
      <c r="N27" s="3" t="str">
        <f t="shared" si="0"/>
        <v>Early</v>
      </c>
      <c r="P27" s="3">
        <f t="shared" si="2"/>
        <v>1</v>
      </c>
    </row>
    <row r="28" spans="1:20" x14ac:dyDescent="0.35">
      <c r="A28" s="3" t="str">
        <f t="shared" si="3"/>
        <v>PRJ027</v>
      </c>
      <c r="B28" s="8" t="str">
        <f t="shared" si="4"/>
        <v>Silver Oak Heights 027</v>
      </c>
      <c r="C28" s="3" t="str">
        <f t="shared" si="5"/>
        <v>South Kerala</v>
      </c>
      <c r="D28" s="3" t="str">
        <f t="shared" si="6"/>
        <v>Pathanamthitta</v>
      </c>
      <c r="E28" s="3" t="str">
        <f t="shared" si="7"/>
        <v>Hospital</v>
      </c>
      <c r="F28" s="4">
        <f t="shared" si="8"/>
        <v>27</v>
      </c>
      <c r="G28" s="6">
        <f t="shared" si="9"/>
        <v>46135</v>
      </c>
      <c r="H28" s="6">
        <f t="shared" si="10"/>
        <v>46255</v>
      </c>
      <c r="I28" s="6">
        <f t="shared" si="11"/>
        <v>46255</v>
      </c>
      <c r="J28" s="3">
        <f t="shared" si="12"/>
        <v>0</v>
      </c>
      <c r="K28" s="3" t="str">
        <f t="shared" si="13"/>
        <v>Installation Started</v>
      </c>
      <c r="L28" s="3" t="str">
        <f t="shared" si="14"/>
        <v>In Progress</v>
      </c>
      <c r="M28" s="3" t="str">
        <f t="shared" si="15"/>
        <v>Pending</v>
      </c>
      <c r="N28" s="3" t="str">
        <f t="shared" si="0"/>
        <v>On Time</v>
      </c>
      <c r="P28" s="3">
        <f t="shared" si="2"/>
        <v>1</v>
      </c>
    </row>
    <row r="29" spans="1:20" x14ac:dyDescent="0.35">
      <c r="A29" s="3" t="str">
        <f t="shared" si="3"/>
        <v>PRJ028</v>
      </c>
      <c r="B29" s="8" t="str">
        <f t="shared" si="4"/>
        <v>River View Heights 028</v>
      </c>
      <c r="C29" s="3" t="str">
        <f t="shared" si="5"/>
        <v>North Kerala</v>
      </c>
      <c r="D29" s="3" t="str">
        <f t="shared" si="6"/>
        <v>Kasaragod</v>
      </c>
      <c r="E29" s="3" t="str">
        <f t="shared" si="7"/>
        <v>Office</v>
      </c>
      <c r="F29" s="4">
        <f t="shared" si="8"/>
        <v>21</v>
      </c>
      <c r="G29" s="6">
        <f t="shared" si="9"/>
        <v>46142</v>
      </c>
      <c r="H29" s="6">
        <f t="shared" si="10"/>
        <v>46292</v>
      </c>
      <c r="I29" s="6">
        <f t="shared" si="11"/>
        <v>46299</v>
      </c>
      <c r="J29" s="3">
        <f t="shared" si="12"/>
        <v>7</v>
      </c>
      <c r="K29" s="3" t="str">
        <f t="shared" si="13"/>
        <v>Mechanical Completion</v>
      </c>
      <c r="L29" s="3" t="str">
        <f t="shared" si="14"/>
        <v>In Progress</v>
      </c>
      <c r="M29" s="3" t="str">
        <f t="shared" si="15"/>
        <v>Pending</v>
      </c>
      <c r="N29" s="3" t="str">
        <f t="shared" si="0"/>
        <v>Delayed</v>
      </c>
      <c r="P29" s="3">
        <f t="shared" si="2"/>
        <v>1</v>
      </c>
    </row>
    <row r="30" spans="1:20" x14ac:dyDescent="0.35">
      <c r="A30" s="3" t="str">
        <f t="shared" si="3"/>
        <v>PRJ029</v>
      </c>
      <c r="B30" s="8" t="str">
        <f t="shared" si="4"/>
        <v>Golden Gate Heights 029</v>
      </c>
      <c r="C30" s="3" t="str">
        <f t="shared" si="5"/>
        <v>Central Kerala</v>
      </c>
      <c r="D30" s="3" t="str">
        <f t="shared" si="6"/>
        <v>Idukki</v>
      </c>
      <c r="E30" s="3" t="str">
        <f t="shared" si="7"/>
        <v>Hotel</v>
      </c>
      <c r="F30" s="4">
        <f t="shared" si="8"/>
        <v>48</v>
      </c>
      <c r="G30" s="6">
        <f t="shared" si="9"/>
        <v>46149</v>
      </c>
      <c r="H30" s="6">
        <f t="shared" si="10"/>
        <v>46329</v>
      </c>
      <c r="I30" s="6" t="str">
        <f t="shared" si="11"/>
        <v/>
      </c>
      <c r="J30" s="3" t="str">
        <f t="shared" si="12"/>
        <v/>
      </c>
      <c r="K30" s="3" t="str">
        <f t="shared" si="13"/>
        <v>Testing &amp; Commissioning</v>
      </c>
      <c r="L30" s="3" t="str">
        <f t="shared" si="14"/>
        <v>In Progress</v>
      </c>
      <c r="M30" s="3" t="str">
        <f t="shared" si="15"/>
        <v>Pending</v>
      </c>
      <c r="N30" s="3" t="str">
        <f t="shared" si="0"/>
        <v>In Progress</v>
      </c>
      <c r="P30" s="3">
        <f t="shared" si="2"/>
        <v>1</v>
      </c>
    </row>
    <row r="31" spans="1:20" x14ac:dyDescent="0.35">
      <c r="A31" s="3" t="str">
        <f t="shared" si="3"/>
        <v>PRJ030</v>
      </c>
      <c r="B31" s="8" t="str">
        <f t="shared" si="4"/>
        <v>Emerald Heights 030</v>
      </c>
      <c r="C31" s="3" t="str">
        <f t="shared" si="5"/>
        <v>South Kerala</v>
      </c>
      <c r="D31" s="3" t="str">
        <f t="shared" si="6"/>
        <v>Kollam</v>
      </c>
      <c r="E31" s="3" t="str">
        <f t="shared" si="7"/>
        <v>Commercial</v>
      </c>
      <c r="F31" s="4">
        <f t="shared" si="8"/>
        <v>32</v>
      </c>
      <c r="G31" s="6">
        <f t="shared" si="9"/>
        <v>46156</v>
      </c>
      <c r="H31" s="6">
        <f t="shared" si="10"/>
        <v>46366</v>
      </c>
      <c r="I31" s="6">
        <f t="shared" si="11"/>
        <v>46376</v>
      </c>
      <c r="J31" s="3">
        <f t="shared" si="12"/>
        <v>10</v>
      </c>
      <c r="K31" s="3" t="str">
        <f t="shared" si="13"/>
        <v>Handover</v>
      </c>
      <c r="L31" s="3" t="str">
        <f t="shared" si="14"/>
        <v>Completed</v>
      </c>
      <c r="M31" s="3" t="str">
        <f t="shared" si="15"/>
        <v>Completed</v>
      </c>
      <c r="N31" s="3" t="str">
        <f t="shared" si="0"/>
        <v>Delayed</v>
      </c>
      <c r="P31" s="3">
        <f t="shared" si="2"/>
        <v>1</v>
      </c>
    </row>
    <row r="32" spans="1:20" x14ac:dyDescent="0.35">
      <c r="A32" s="3" t="str">
        <f t="shared" si="3"/>
        <v>PRJ031</v>
      </c>
      <c r="B32" s="8" t="str">
        <f t="shared" si="4"/>
        <v>Green Valley Towers 031</v>
      </c>
      <c r="C32" s="3" t="str">
        <f t="shared" si="5"/>
        <v>North Kerala</v>
      </c>
      <c r="D32" s="3" t="str">
        <f t="shared" si="6"/>
        <v>Wayanad</v>
      </c>
      <c r="E32" s="3" t="str">
        <f t="shared" si="7"/>
        <v>Residential</v>
      </c>
      <c r="F32" s="4">
        <f t="shared" si="8"/>
        <v>18</v>
      </c>
      <c r="G32" s="6">
        <f t="shared" si="9"/>
        <v>46163</v>
      </c>
      <c r="H32" s="6">
        <f t="shared" si="10"/>
        <v>46253</v>
      </c>
      <c r="I32" s="6">
        <f t="shared" si="11"/>
        <v>46248</v>
      </c>
      <c r="J32" s="3">
        <f t="shared" si="12"/>
        <v>-5</v>
      </c>
      <c r="K32" s="3" t="str">
        <f t="shared" si="13"/>
        <v>Material Ordered</v>
      </c>
      <c r="L32" s="3" t="str">
        <f t="shared" si="14"/>
        <v>In Progress</v>
      </c>
      <c r="M32" s="3" t="str">
        <f t="shared" si="15"/>
        <v>Pending</v>
      </c>
      <c r="N32" s="3" t="str">
        <f t="shared" si="0"/>
        <v>Early</v>
      </c>
      <c r="P32" s="3">
        <f t="shared" si="2"/>
        <v>1</v>
      </c>
    </row>
    <row r="33" spans="1:16" x14ac:dyDescent="0.35">
      <c r="A33" s="3" t="str">
        <f t="shared" si="3"/>
        <v>PRJ032</v>
      </c>
      <c r="B33" s="8" t="str">
        <f t="shared" si="4"/>
        <v>Royal Palm Towers 032</v>
      </c>
      <c r="C33" s="3" t="str">
        <f t="shared" si="5"/>
        <v>Central Kerala</v>
      </c>
      <c r="D33" s="3" t="str">
        <f t="shared" si="6"/>
        <v>Thrissur</v>
      </c>
      <c r="E33" s="3" t="str">
        <f t="shared" si="7"/>
        <v>Apartment</v>
      </c>
      <c r="F33" s="4">
        <f t="shared" si="8"/>
        <v>24</v>
      </c>
      <c r="G33" s="6">
        <f t="shared" si="9"/>
        <v>46170</v>
      </c>
      <c r="H33" s="6">
        <f t="shared" si="10"/>
        <v>46290</v>
      </c>
      <c r="I33" s="6">
        <f t="shared" si="11"/>
        <v>46290</v>
      </c>
      <c r="J33" s="3">
        <f t="shared" si="12"/>
        <v>0</v>
      </c>
      <c r="K33" s="3" t="str">
        <f t="shared" si="13"/>
        <v>Material Delivered</v>
      </c>
      <c r="L33" s="3" t="str">
        <f t="shared" si="14"/>
        <v>In Progress</v>
      </c>
      <c r="M33" s="3" t="str">
        <f t="shared" si="15"/>
        <v>Pending</v>
      </c>
      <c r="N33" s="3" t="str">
        <f t="shared" si="0"/>
        <v>On Time</v>
      </c>
      <c r="P33" s="3">
        <f t="shared" si="2"/>
        <v>1</v>
      </c>
    </row>
    <row r="34" spans="1:16" x14ac:dyDescent="0.35">
      <c r="A34" s="3" t="str">
        <f t="shared" si="3"/>
        <v>PRJ033</v>
      </c>
      <c r="B34" s="8" t="str">
        <f t="shared" si="4"/>
        <v>Skyline Towers 033</v>
      </c>
      <c r="C34" s="3" t="str">
        <f t="shared" si="5"/>
        <v>South Kerala</v>
      </c>
      <c r="D34" s="3" t="str">
        <f t="shared" si="6"/>
        <v>Trivandrum</v>
      </c>
      <c r="E34" s="3" t="str">
        <f t="shared" si="7"/>
        <v>Hospital</v>
      </c>
      <c r="F34" s="4">
        <f t="shared" si="8"/>
        <v>42</v>
      </c>
      <c r="G34" s="6">
        <f t="shared" si="9"/>
        <v>46177</v>
      </c>
      <c r="H34" s="6">
        <f t="shared" si="10"/>
        <v>46327</v>
      </c>
      <c r="I34" s="6" t="str">
        <f t="shared" si="11"/>
        <v/>
      </c>
      <c r="J34" s="3" t="str">
        <f t="shared" si="12"/>
        <v/>
      </c>
      <c r="K34" s="3" t="str">
        <f t="shared" si="13"/>
        <v>Installation Started</v>
      </c>
      <c r="L34" s="3" t="str">
        <f t="shared" si="14"/>
        <v>In Progress</v>
      </c>
      <c r="M34" s="3" t="str">
        <f t="shared" si="15"/>
        <v>Pending</v>
      </c>
      <c r="N34" s="3" t="str">
        <f t="shared" si="0"/>
        <v>In Progress</v>
      </c>
      <c r="P34" s="3">
        <f t="shared" si="2"/>
        <v>1</v>
      </c>
    </row>
    <row r="35" spans="1:16" x14ac:dyDescent="0.35">
      <c r="A35" s="3" t="str">
        <f t="shared" si="3"/>
        <v>PRJ034</v>
      </c>
      <c r="B35" s="8" t="str">
        <f t="shared" si="4"/>
        <v>Harmony Towers 034</v>
      </c>
      <c r="C35" s="3" t="str">
        <f t="shared" si="5"/>
        <v>North Kerala</v>
      </c>
      <c r="D35" s="3" t="str">
        <f t="shared" si="6"/>
        <v>Kozhikode</v>
      </c>
      <c r="E35" s="3" t="str">
        <f t="shared" si="7"/>
        <v>Office</v>
      </c>
      <c r="F35" s="4">
        <f t="shared" si="8"/>
        <v>65</v>
      </c>
      <c r="G35" s="6">
        <f t="shared" si="9"/>
        <v>46184</v>
      </c>
      <c r="H35" s="6">
        <f t="shared" si="10"/>
        <v>46364</v>
      </c>
      <c r="I35" s="6">
        <f t="shared" si="11"/>
        <v>46362</v>
      </c>
      <c r="J35" s="3">
        <f t="shared" si="12"/>
        <v>-2</v>
      </c>
      <c r="K35" s="3" t="str">
        <f t="shared" si="13"/>
        <v>Mechanical Completion</v>
      </c>
      <c r="L35" s="3" t="str">
        <f t="shared" si="14"/>
        <v>In Progress</v>
      </c>
      <c r="M35" s="3" t="str">
        <f t="shared" si="15"/>
        <v>Pending</v>
      </c>
      <c r="N35" s="3" t="str">
        <f t="shared" si="0"/>
        <v>Early</v>
      </c>
      <c r="P35" s="3">
        <f t="shared" si="2"/>
        <v>1</v>
      </c>
    </row>
    <row r="36" spans="1:16" x14ac:dyDescent="0.35">
      <c r="A36" s="3" t="str">
        <f t="shared" si="3"/>
        <v>PRJ035</v>
      </c>
      <c r="B36" s="8" t="str">
        <f t="shared" si="4"/>
        <v>Lakeside Towers 035</v>
      </c>
      <c r="C36" s="3" t="str">
        <f t="shared" si="5"/>
        <v>Central Kerala</v>
      </c>
      <c r="D36" s="3" t="str">
        <f t="shared" si="6"/>
        <v>Idukki</v>
      </c>
      <c r="E36" s="3" t="str">
        <f t="shared" si="7"/>
        <v>Hotel</v>
      </c>
      <c r="F36" s="4">
        <f t="shared" si="8"/>
        <v>38</v>
      </c>
      <c r="G36" s="6">
        <f t="shared" si="9"/>
        <v>46191</v>
      </c>
      <c r="H36" s="6">
        <f t="shared" si="10"/>
        <v>46401</v>
      </c>
      <c r="I36" s="6">
        <f t="shared" si="11"/>
        <v>46411</v>
      </c>
      <c r="J36" s="3">
        <f t="shared" si="12"/>
        <v>10</v>
      </c>
      <c r="K36" s="3" t="str">
        <f t="shared" si="13"/>
        <v>Testing &amp; Commissioning</v>
      </c>
      <c r="L36" s="3" t="str">
        <f t="shared" si="14"/>
        <v>In Progress</v>
      </c>
      <c r="M36" s="3" t="str">
        <f t="shared" si="15"/>
        <v>Pending</v>
      </c>
      <c r="N36" s="3" t="str">
        <f t="shared" si="0"/>
        <v>Delayed</v>
      </c>
      <c r="P36" s="3">
        <f t="shared" si="2"/>
        <v>1</v>
      </c>
    </row>
    <row r="37" spans="1:16" x14ac:dyDescent="0.35">
      <c r="A37" s="3" t="str">
        <f t="shared" si="3"/>
        <v>PRJ036</v>
      </c>
      <c r="B37" s="8" t="str">
        <f t="shared" si="4"/>
        <v>Sunrise Towers 036</v>
      </c>
      <c r="C37" s="3" t="str">
        <f t="shared" si="5"/>
        <v>South Kerala</v>
      </c>
      <c r="D37" s="3" t="str">
        <f t="shared" si="6"/>
        <v>Alappuzha</v>
      </c>
      <c r="E37" s="3" t="str">
        <f t="shared" si="7"/>
        <v>Commercial</v>
      </c>
      <c r="F37" s="4">
        <f t="shared" si="8"/>
        <v>55</v>
      </c>
      <c r="G37" s="6">
        <f t="shared" si="9"/>
        <v>46198</v>
      </c>
      <c r="H37" s="6">
        <f t="shared" si="10"/>
        <v>46288</v>
      </c>
      <c r="I37" s="6">
        <f t="shared" si="11"/>
        <v>46283</v>
      </c>
      <c r="J37" s="3">
        <f t="shared" si="12"/>
        <v>-5</v>
      </c>
      <c r="K37" s="3" t="str">
        <f t="shared" si="13"/>
        <v>Handover</v>
      </c>
      <c r="L37" s="3" t="str">
        <f t="shared" si="14"/>
        <v>Completed</v>
      </c>
      <c r="M37" s="3" t="str">
        <f t="shared" si="15"/>
        <v>Completed</v>
      </c>
      <c r="N37" s="3" t="str">
        <f t="shared" si="0"/>
        <v>Early</v>
      </c>
      <c r="P37" s="3">
        <f t="shared" si="2"/>
        <v>1</v>
      </c>
    </row>
    <row r="38" spans="1:16" x14ac:dyDescent="0.35">
      <c r="A38" s="3" t="str">
        <f t="shared" si="3"/>
        <v>PRJ037</v>
      </c>
      <c r="B38" s="8" t="str">
        <f t="shared" si="4"/>
        <v>Silver Oak Towers 037</v>
      </c>
      <c r="C38" s="3" t="str">
        <f t="shared" si="5"/>
        <v>North Kerala</v>
      </c>
      <c r="D38" s="3" t="str">
        <f t="shared" si="6"/>
        <v>Kannur</v>
      </c>
      <c r="E38" s="3" t="str">
        <f t="shared" si="7"/>
        <v>Residential</v>
      </c>
      <c r="F38" s="4">
        <f t="shared" si="8"/>
        <v>27</v>
      </c>
      <c r="G38" s="6">
        <f t="shared" si="9"/>
        <v>46025</v>
      </c>
      <c r="H38" s="6">
        <f t="shared" si="10"/>
        <v>46145</v>
      </c>
      <c r="I38" s="6" t="str">
        <f t="shared" si="11"/>
        <v/>
      </c>
      <c r="J38" s="3" t="str">
        <f t="shared" si="12"/>
        <v/>
      </c>
      <c r="K38" s="3" t="str">
        <f t="shared" si="13"/>
        <v>Material Ordered</v>
      </c>
      <c r="L38" s="3" t="str">
        <f t="shared" si="14"/>
        <v>In Progress</v>
      </c>
      <c r="M38" s="3" t="str">
        <f t="shared" si="15"/>
        <v>Pending</v>
      </c>
      <c r="N38" s="3" t="str">
        <f t="shared" si="0"/>
        <v>In Progress</v>
      </c>
      <c r="P38" s="3">
        <f t="shared" si="2"/>
        <v>1</v>
      </c>
    </row>
    <row r="39" spans="1:16" x14ac:dyDescent="0.35">
      <c r="A39" s="3" t="str">
        <f t="shared" si="3"/>
        <v>PRJ038</v>
      </c>
      <c r="B39" s="8" t="str">
        <f t="shared" si="4"/>
        <v>River View Towers 038</v>
      </c>
      <c r="C39" s="3" t="str">
        <f t="shared" si="5"/>
        <v>Central Kerala</v>
      </c>
      <c r="D39" s="3" t="str">
        <f t="shared" si="6"/>
        <v>Thrissur</v>
      </c>
      <c r="E39" s="3" t="str">
        <f t="shared" si="7"/>
        <v>Apartment</v>
      </c>
      <c r="F39" s="4">
        <f t="shared" si="8"/>
        <v>21</v>
      </c>
      <c r="G39" s="6">
        <f t="shared" si="9"/>
        <v>46032</v>
      </c>
      <c r="H39" s="6">
        <f t="shared" si="10"/>
        <v>46182</v>
      </c>
      <c r="I39" s="6">
        <f t="shared" si="11"/>
        <v>46189</v>
      </c>
      <c r="J39" s="3">
        <f t="shared" si="12"/>
        <v>7</v>
      </c>
      <c r="K39" s="3" t="str">
        <f t="shared" si="13"/>
        <v>Material Delivered</v>
      </c>
      <c r="L39" s="3" t="str">
        <f t="shared" si="14"/>
        <v>In Progress</v>
      </c>
      <c r="M39" s="3" t="str">
        <f t="shared" si="15"/>
        <v>Pending</v>
      </c>
      <c r="N39" s="3" t="str">
        <f t="shared" si="0"/>
        <v>Delayed</v>
      </c>
      <c r="P39" s="3">
        <f t="shared" si="2"/>
        <v>1</v>
      </c>
    </row>
    <row r="40" spans="1:16" x14ac:dyDescent="0.35">
      <c r="A40" s="3" t="str">
        <f t="shared" si="3"/>
        <v>PRJ039</v>
      </c>
      <c r="B40" s="8" t="str">
        <f t="shared" si="4"/>
        <v>Golden Gate Towers 039</v>
      </c>
      <c r="C40" s="3" t="str">
        <f t="shared" si="5"/>
        <v>South Kerala</v>
      </c>
      <c r="D40" s="3" t="str">
        <f t="shared" si="6"/>
        <v>Pathanamthitta</v>
      </c>
      <c r="E40" s="3" t="str">
        <f t="shared" si="7"/>
        <v>Hospital</v>
      </c>
      <c r="F40" s="4">
        <f t="shared" si="8"/>
        <v>48</v>
      </c>
      <c r="G40" s="6">
        <f t="shared" si="9"/>
        <v>46039</v>
      </c>
      <c r="H40" s="6">
        <f t="shared" si="10"/>
        <v>46219</v>
      </c>
      <c r="I40" s="6">
        <f t="shared" si="11"/>
        <v>46217</v>
      </c>
      <c r="J40" s="3">
        <f t="shared" si="12"/>
        <v>-2</v>
      </c>
      <c r="K40" s="3" t="str">
        <f t="shared" si="13"/>
        <v>Installation Started</v>
      </c>
      <c r="L40" s="3" t="str">
        <f t="shared" si="14"/>
        <v>In Progress</v>
      </c>
      <c r="M40" s="3" t="str">
        <f t="shared" si="15"/>
        <v>Pending</v>
      </c>
      <c r="N40" s="3" t="str">
        <f t="shared" si="0"/>
        <v>Early</v>
      </c>
      <c r="P40" s="3">
        <f t="shared" si="2"/>
        <v>1</v>
      </c>
    </row>
    <row r="41" spans="1:16" x14ac:dyDescent="0.35">
      <c r="A41" s="3" t="str">
        <f t="shared" si="3"/>
        <v>PRJ040</v>
      </c>
      <c r="B41" s="8" t="str">
        <f t="shared" si="4"/>
        <v>Emerald Towers 040</v>
      </c>
      <c r="C41" s="3" t="str">
        <f t="shared" si="5"/>
        <v>North Kerala</v>
      </c>
      <c r="D41" s="3" t="str">
        <f t="shared" si="6"/>
        <v>Kasaragod</v>
      </c>
      <c r="E41" s="3" t="str">
        <f t="shared" si="7"/>
        <v>Office</v>
      </c>
      <c r="F41" s="4">
        <f t="shared" si="8"/>
        <v>32</v>
      </c>
      <c r="G41" s="6">
        <f t="shared" si="9"/>
        <v>46046</v>
      </c>
      <c r="H41" s="6">
        <f t="shared" si="10"/>
        <v>46256</v>
      </c>
      <c r="I41" s="6">
        <f t="shared" si="11"/>
        <v>46266</v>
      </c>
      <c r="J41" s="3">
        <f t="shared" si="12"/>
        <v>10</v>
      </c>
      <c r="K41" s="3" t="str">
        <f t="shared" si="13"/>
        <v>Mechanical Completion</v>
      </c>
      <c r="L41" s="3" t="str">
        <f t="shared" si="14"/>
        <v>In Progress</v>
      </c>
      <c r="M41" s="3" t="str">
        <f t="shared" si="15"/>
        <v>Pending</v>
      </c>
      <c r="N41" s="3" t="str">
        <f t="shared" si="0"/>
        <v>Delayed</v>
      </c>
      <c r="P41" s="3">
        <f t="shared" si="2"/>
        <v>1</v>
      </c>
    </row>
    <row r="42" spans="1:16" x14ac:dyDescent="0.35">
      <c r="A42" s="3" t="str">
        <f t="shared" si="3"/>
        <v>PRJ041</v>
      </c>
      <c r="B42" s="8" t="str">
        <f t="shared" si="4"/>
        <v>Green Valley Enclave 041</v>
      </c>
      <c r="C42" s="3" t="str">
        <f t="shared" si="5"/>
        <v>Central Kerala</v>
      </c>
      <c r="D42" s="3" t="str">
        <f t="shared" si="6"/>
        <v>Idukki</v>
      </c>
      <c r="E42" s="3" t="str">
        <f t="shared" si="7"/>
        <v>Hotel</v>
      </c>
      <c r="F42" s="4">
        <f t="shared" si="8"/>
        <v>18</v>
      </c>
      <c r="G42" s="6">
        <f t="shared" si="9"/>
        <v>46053</v>
      </c>
      <c r="H42" s="6">
        <f t="shared" si="10"/>
        <v>46143</v>
      </c>
      <c r="I42" s="6" t="str">
        <f t="shared" si="11"/>
        <v/>
      </c>
      <c r="J42" s="3" t="str">
        <f t="shared" si="12"/>
        <v/>
      </c>
      <c r="K42" s="3" t="str">
        <f t="shared" si="13"/>
        <v>Testing &amp; Commissioning</v>
      </c>
      <c r="L42" s="3" t="str">
        <f t="shared" si="14"/>
        <v>In Progress</v>
      </c>
      <c r="M42" s="3" t="str">
        <f t="shared" si="15"/>
        <v>Pending</v>
      </c>
      <c r="N42" s="3" t="str">
        <f t="shared" si="0"/>
        <v>In Progress</v>
      </c>
      <c r="P42" s="3">
        <f t="shared" si="2"/>
        <v>1</v>
      </c>
    </row>
    <row r="43" spans="1:16" x14ac:dyDescent="0.35">
      <c r="A43" s="3" t="str">
        <f t="shared" si="3"/>
        <v>PRJ042</v>
      </c>
      <c r="B43" s="8" t="str">
        <f t="shared" si="4"/>
        <v>Royal Palm Enclave 042</v>
      </c>
      <c r="C43" s="3" t="str">
        <f t="shared" si="5"/>
        <v>South Kerala</v>
      </c>
      <c r="D43" s="3" t="str">
        <f t="shared" si="6"/>
        <v>Kollam</v>
      </c>
      <c r="E43" s="3" t="str">
        <f t="shared" si="7"/>
        <v>Commercial</v>
      </c>
      <c r="F43" s="4">
        <f t="shared" si="8"/>
        <v>24</v>
      </c>
      <c r="G43" s="6">
        <f t="shared" si="9"/>
        <v>46060</v>
      </c>
      <c r="H43" s="6">
        <f t="shared" si="10"/>
        <v>46180</v>
      </c>
      <c r="I43" s="6">
        <f t="shared" si="11"/>
        <v>46180</v>
      </c>
      <c r="J43" s="3">
        <f t="shared" si="12"/>
        <v>0</v>
      </c>
      <c r="K43" s="3" t="str">
        <f t="shared" si="13"/>
        <v>Handover</v>
      </c>
      <c r="L43" s="3" t="str">
        <f t="shared" si="14"/>
        <v>Completed</v>
      </c>
      <c r="M43" s="3" t="str">
        <f t="shared" si="15"/>
        <v>Completed</v>
      </c>
      <c r="N43" s="3" t="str">
        <f t="shared" si="0"/>
        <v>On Time</v>
      </c>
      <c r="P43" s="3">
        <f t="shared" si="2"/>
        <v>1</v>
      </c>
    </row>
    <row r="44" spans="1:16" x14ac:dyDescent="0.35">
      <c r="A44" s="3" t="str">
        <f t="shared" si="3"/>
        <v>PRJ043</v>
      </c>
      <c r="B44" s="8" t="str">
        <f t="shared" si="4"/>
        <v>Skyline Enclave 043</v>
      </c>
      <c r="C44" s="3" t="str">
        <f t="shared" si="5"/>
        <v>North Kerala</v>
      </c>
      <c r="D44" s="3" t="str">
        <f t="shared" si="6"/>
        <v>Wayanad</v>
      </c>
      <c r="E44" s="3" t="str">
        <f t="shared" si="7"/>
        <v>Residential</v>
      </c>
      <c r="F44" s="4">
        <f t="shared" si="8"/>
        <v>42</v>
      </c>
      <c r="G44" s="6">
        <f t="shared" si="9"/>
        <v>46067</v>
      </c>
      <c r="H44" s="6">
        <f t="shared" si="10"/>
        <v>46217</v>
      </c>
      <c r="I44" s="6">
        <f t="shared" si="11"/>
        <v>46224</v>
      </c>
      <c r="J44" s="3">
        <f t="shared" si="12"/>
        <v>7</v>
      </c>
      <c r="K44" s="3" t="str">
        <f t="shared" si="13"/>
        <v>Material Ordered</v>
      </c>
      <c r="L44" s="3" t="str">
        <f t="shared" si="14"/>
        <v>In Progress</v>
      </c>
      <c r="M44" s="3" t="str">
        <f t="shared" si="15"/>
        <v>Pending</v>
      </c>
      <c r="N44" s="3" t="str">
        <f t="shared" si="0"/>
        <v>Delayed</v>
      </c>
      <c r="P44" s="3">
        <f t="shared" si="2"/>
        <v>1</v>
      </c>
    </row>
    <row r="45" spans="1:16" x14ac:dyDescent="0.35">
      <c r="A45" s="3" t="str">
        <f t="shared" si="3"/>
        <v>PRJ044</v>
      </c>
      <c r="B45" s="8" t="str">
        <f t="shared" si="4"/>
        <v>Harmony Enclave 044</v>
      </c>
      <c r="C45" s="3" t="str">
        <f t="shared" si="5"/>
        <v>Central Kerala</v>
      </c>
      <c r="D45" s="3" t="str">
        <f t="shared" si="6"/>
        <v>Thrissur</v>
      </c>
      <c r="E45" s="3" t="str">
        <f t="shared" si="7"/>
        <v>Apartment</v>
      </c>
      <c r="F45" s="4">
        <f t="shared" si="8"/>
        <v>65</v>
      </c>
      <c r="G45" s="6">
        <f t="shared" si="9"/>
        <v>46074</v>
      </c>
      <c r="H45" s="6">
        <f t="shared" si="10"/>
        <v>46254</v>
      </c>
      <c r="I45" s="6">
        <f t="shared" si="11"/>
        <v>46252</v>
      </c>
      <c r="J45" s="3">
        <f t="shared" si="12"/>
        <v>-2</v>
      </c>
      <c r="K45" s="3" t="str">
        <f t="shared" si="13"/>
        <v>Material Delivered</v>
      </c>
      <c r="L45" s="3" t="str">
        <f t="shared" si="14"/>
        <v>In Progress</v>
      </c>
      <c r="M45" s="3" t="str">
        <f t="shared" si="15"/>
        <v>Pending</v>
      </c>
      <c r="N45" s="3" t="str">
        <f t="shared" si="0"/>
        <v>Early</v>
      </c>
      <c r="P45" s="3">
        <f t="shared" si="2"/>
        <v>1</v>
      </c>
    </row>
    <row r="46" spans="1:16" x14ac:dyDescent="0.35">
      <c r="A46" s="3" t="str">
        <f t="shared" si="3"/>
        <v>PRJ045</v>
      </c>
      <c r="B46" s="8" t="str">
        <f t="shared" si="4"/>
        <v>Lakeside Enclave 045</v>
      </c>
      <c r="C46" s="3" t="str">
        <f t="shared" si="5"/>
        <v>South Kerala</v>
      </c>
      <c r="D46" s="3" t="str">
        <f t="shared" si="6"/>
        <v>Trivandrum</v>
      </c>
      <c r="E46" s="3" t="str">
        <f t="shared" si="7"/>
        <v>Hospital</v>
      </c>
      <c r="F46" s="4">
        <f t="shared" si="8"/>
        <v>38</v>
      </c>
      <c r="G46" s="6">
        <f t="shared" si="9"/>
        <v>46081</v>
      </c>
      <c r="H46" s="6">
        <f t="shared" si="10"/>
        <v>46291</v>
      </c>
      <c r="I46" s="6" t="str">
        <f t="shared" si="11"/>
        <v/>
      </c>
      <c r="J46" s="3" t="str">
        <f t="shared" si="12"/>
        <v/>
      </c>
      <c r="K46" s="3" t="str">
        <f t="shared" si="13"/>
        <v>Installation Started</v>
      </c>
      <c r="L46" s="3" t="str">
        <f t="shared" si="14"/>
        <v>In Progress</v>
      </c>
      <c r="M46" s="3" t="str">
        <f t="shared" si="15"/>
        <v>Pending</v>
      </c>
      <c r="N46" s="3" t="str">
        <f t="shared" si="0"/>
        <v>In Progress</v>
      </c>
      <c r="P46" s="3">
        <f t="shared" si="2"/>
        <v>1</v>
      </c>
    </row>
    <row r="47" spans="1:16" x14ac:dyDescent="0.35">
      <c r="A47" s="3" t="str">
        <f t="shared" si="3"/>
        <v>PRJ046</v>
      </c>
      <c r="B47" s="8" t="str">
        <f t="shared" si="4"/>
        <v>Sunrise Enclave 046</v>
      </c>
      <c r="C47" s="3" t="str">
        <f t="shared" si="5"/>
        <v>North Kerala</v>
      </c>
      <c r="D47" s="3" t="str">
        <f t="shared" si="6"/>
        <v>Kozhikode</v>
      </c>
      <c r="E47" s="3" t="str">
        <f t="shared" si="7"/>
        <v>Office</v>
      </c>
      <c r="F47" s="4">
        <f t="shared" si="8"/>
        <v>55</v>
      </c>
      <c r="G47" s="6">
        <f t="shared" si="9"/>
        <v>46088</v>
      </c>
      <c r="H47" s="6">
        <f t="shared" si="10"/>
        <v>46178</v>
      </c>
      <c r="I47" s="6">
        <f t="shared" si="11"/>
        <v>46173</v>
      </c>
      <c r="J47" s="3">
        <f t="shared" si="12"/>
        <v>-5</v>
      </c>
      <c r="K47" s="3" t="str">
        <f t="shared" si="13"/>
        <v>Mechanical Completion</v>
      </c>
      <c r="L47" s="3" t="str">
        <f t="shared" si="14"/>
        <v>In Progress</v>
      </c>
      <c r="M47" s="3" t="str">
        <f t="shared" si="15"/>
        <v>Pending</v>
      </c>
      <c r="N47" s="3" t="str">
        <f t="shared" si="0"/>
        <v>Early</v>
      </c>
      <c r="P47" s="3">
        <f t="shared" si="2"/>
        <v>1</v>
      </c>
    </row>
    <row r="48" spans="1:16" x14ac:dyDescent="0.35">
      <c r="A48" s="3" t="str">
        <f t="shared" si="3"/>
        <v>PRJ047</v>
      </c>
      <c r="B48" s="8" t="str">
        <f t="shared" si="4"/>
        <v>Silver Oak Enclave 047</v>
      </c>
      <c r="C48" s="3" t="str">
        <f t="shared" si="5"/>
        <v>Central Kerala</v>
      </c>
      <c r="D48" s="3" t="str">
        <f t="shared" si="6"/>
        <v>Idukki</v>
      </c>
      <c r="E48" s="3" t="str">
        <f t="shared" si="7"/>
        <v>Hotel</v>
      </c>
      <c r="F48" s="4">
        <f t="shared" si="8"/>
        <v>27</v>
      </c>
      <c r="G48" s="6">
        <f t="shared" si="9"/>
        <v>46095</v>
      </c>
      <c r="H48" s="6">
        <f t="shared" si="10"/>
        <v>46215</v>
      </c>
      <c r="I48" s="6">
        <f t="shared" si="11"/>
        <v>46215</v>
      </c>
      <c r="J48" s="3">
        <f t="shared" si="12"/>
        <v>0</v>
      </c>
      <c r="K48" s="3" t="str">
        <f t="shared" si="13"/>
        <v>Testing &amp; Commissioning</v>
      </c>
      <c r="L48" s="3" t="str">
        <f t="shared" si="14"/>
        <v>In Progress</v>
      </c>
      <c r="M48" s="3" t="str">
        <f t="shared" si="15"/>
        <v>Pending</v>
      </c>
      <c r="N48" s="3" t="str">
        <f t="shared" si="0"/>
        <v>On Time</v>
      </c>
      <c r="P48" s="3">
        <f t="shared" si="2"/>
        <v>1</v>
      </c>
    </row>
    <row r="49" spans="1:16" x14ac:dyDescent="0.35">
      <c r="A49" s="3" t="str">
        <f t="shared" si="3"/>
        <v>PRJ048</v>
      </c>
      <c r="B49" s="8" t="str">
        <f t="shared" si="4"/>
        <v>River View Enclave 048</v>
      </c>
      <c r="C49" s="3" t="str">
        <f t="shared" si="5"/>
        <v>South Kerala</v>
      </c>
      <c r="D49" s="3" t="str">
        <f t="shared" si="6"/>
        <v>Alappuzha</v>
      </c>
      <c r="E49" s="3" t="str">
        <f t="shared" si="7"/>
        <v>Commercial</v>
      </c>
      <c r="F49" s="4">
        <f t="shared" si="8"/>
        <v>21</v>
      </c>
      <c r="G49" s="6">
        <f t="shared" si="9"/>
        <v>46102</v>
      </c>
      <c r="H49" s="6">
        <f t="shared" si="10"/>
        <v>46252</v>
      </c>
      <c r="I49" s="6">
        <f t="shared" si="11"/>
        <v>46259</v>
      </c>
      <c r="J49" s="3">
        <f t="shared" si="12"/>
        <v>7</v>
      </c>
      <c r="K49" s="3" t="str">
        <f t="shared" si="13"/>
        <v>Handover</v>
      </c>
      <c r="L49" s="3" t="str">
        <f t="shared" si="14"/>
        <v>Completed</v>
      </c>
      <c r="M49" s="3" t="str">
        <f t="shared" si="15"/>
        <v>Completed</v>
      </c>
      <c r="N49" s="3" t="str">
        <f t="shared" si="0"/>
        <v>Delayed</v>
      </c>
      <c r="P49" s="3">
        <f t="shared" si="2"/>
        <v>1</v>
      </c>
    </row>
    <row r="50" spans="1:16" x14ac:dyDescent="0.35">
      <c r="A50" s="3" t="str">
        <f t="shared" si="3"/>
        <v>PRJ049</v>
      </c>
      <c r="B50" s="8" t="str">
        <f t="shared" si="4"/>
        <v>Golden Gate Enclave 049</v>
      </c>
      <c r="C50" s="3" t="str">
        <f t="shared" si="5"/>
        <v>North Kerala</v>
      </c>
      <c r="D50" s="3" t="str">
        <f t="shared" si="6"/>
        <v>Kannur</v>
      </c>
      <c r="E50" s="3" t="str">
        <f t="shared" si="7"/>
        <v>Residential</v>
      </c>
      <c r="F50" s="4">
        <f t="shared" si="8"/>
        <v>48</v>
      </c>
      <c r="G50" s="6">
        <f t="shared" si="9"/>
        <v>46109</v>
      </c>
      <c r="H50" s="6">
        <f t="shared" si="10"/>
        <v>46289</v>
      </c>
      <c r="I50" s="6" t="str">
        <f t="shared" si="11"/>
        <v/>
      </c>
      <c r="J50" s="3" t="str">
        <f t="shared" si="12"/>
        <v/>
      </c>
      <c r="K50" s="3" t="str">
        <f t="shared" si="13"/>
        <v>Material Ordered</v>
      </c>
      <c r="L50" s="3" t="str">
        <f t="shared" si="14"/>
        <v>In Progress</v>
      </c>
      <c r="M50" s="3" t="str">
        <f t="shared" si="15"/>
        <v>Pending</v>
      </c>
      <c r="N50" s="3" t="str">
        <f t="shared" si="0"/>
        <v>In Progress</v>
      </c>
      <c r="P50" s="3">
        <f t="shared" si="2"/>
        <v>1</v>
      </c>
    </row>
    <row r="51" spans="1:16" x14ac:dyDescent="0.35">
      <c r="A51" s="3" t="str">
        <f t="shared" si="3"/>
        <v>PRJ050</v>
      </c>
      <c r="B51" s="8" t="str">
        <f t="shared" si="4"/>
        <v>Emerald Enclave 050</v>
      </c>
      <c r="C51" s="3" t="str">
        <f t="shared" si="5"/>
        <v>Central Kerala</v>
      </c>
      <c r="D51" s="3" t="str">
        <f t="shared" si="6"/>
        <v>Thrissur</v>
      </c>
      <c r="E51" s="3" t="str">
        <f t="shared" si="7"/>
        <v>Apartment</v>
      </c>
      <c r="F51" s="4">
        <f t="shared" si="8"/>
        <v>32</v>
      </c>
      <c r="G51" s="6">
        <f t="shared" si="9"/>
        <v>46116</v>
      </c>
      <c r="H51" s="6">
        <f t="shared" si="10"/>
        <v>46326</v>
      </c>
      <c r="I51" s="6">
        <f t="shared" si="11"/>
        <v>46336</v>
      </c>
      <c r="J51" s="3">
        <f t="shared" si="12"/>
        <v>10</v>
      </c>
      <c r="K51" s="3" t="str">
        <f t="shared" si="13"/>
        <v>Material Delivered</v>
      </c>
      <c r="L51" s="3" t="str">
        <f t="shared" si="14"/>
        <v>In Progress</v>
      </c>
      <c r="M51" s="3" t="str">
        <f t="shared" si="15"/>
        <v>Pending</v>
      </c>
      <c r="N51" s="3" t="str">
        <f t="shared" si="0"/>
        <v>Delayed</v>
      </c>
      <c r="P51" s="3">
        <f t="shared" si="2"/>
        <v>1</v>
      </c>
    </row>
    <row r="52" spans="1:16" x14ac:dyDescent="0.35">
      <c r="A52" s="3" t="str">
        <f t="shared" si="3"/>
        <v>PRJ051</v>
      </c>
      <c r="B52" s="8" t="str">
        <f t="shared" si="4"/>
        <v>Green Valley Business Centre 051</v>
      </c>
      <c r="C52" s="3" t="str">
        <f t="shared" si="5"/>
        <v>South Kerala</v>
      </c>
      <c r="D52" s="3" t="str">
        <f t="shared" si="6"/>
        <v>Pathanamthitta</v>
      </c>
      <c r="E52" s="3" t="str">
        <f t="shared" si="7"/>
        <v>Hospital</v>
      </c>
      <c r="F52" s="4">
        <f t="shared" si="8"/>
        <v>18</v>
      </c>
      <c r="G52" s="6">
        <f t="shared" si="9"/>
        <v>46123</v>
      </c>
      <c r="H52" s="6">
        <f t="shared" si="10"/>
        <v>46213</v>
      </c>
      <c r="I52" s="6">
        <f t="shared" si="11"/>
        <v>46208</v>
      </c>
      <c r="J52" s="3">
        <f t="shared" si="12"/>
        <v>-5</v>
      </c>
      <c r="K52" s="3" t="str">
        <f t="shared" si="13"/>
        <v>Installation Started</v>
      </c>
      <c r="L52" s="3" t="str">
        <f t="shared" si="14"/>
        <v>In Progress</v>
      </c>
      <c r="M52" s="3" t="str">
        <f t="shared" si="15"/>
        <v>Pending</v>
      </c>
      <c r="N52" s="3" t="str">
        <f t="shared" si="0"/>
        <v>Early</v>
      </c>
      <c r="P52" s="3">
        <f t="shared" si="2"/>
        <v>1</v>
      </c>
    </row>
    <row r="53" spans="1:16" x14ac:dyDescent="0.35">
      <c r="A53" s="3" t="str">
        <f t="shared" si="3"/>
        <v>PRJ052</v>
      </c>
      <c r="B53" s="8" t="str">
        <f t="shared" si="4"/>
        <v>Royal Palm Business Centre 052</v>
      </c>
      <c r="C53" s="3" t="str">
        <f t="shared" si="5"/>
        <v>North Kerala</v>
      </c>
      <c r="D53" s="3" t="str">
        <f t="shared" si="6"/>
        <v>Kasaragod</v>
      </c>
      <c r="E53" s="3" t="str">
        <f t="shared" si="7"/>
        <v>Office</v>
      </c>
      <c r="F53" s="4">
        <f t="shared" si="8"/>
        <v>24</v>
      </c>
      <c r="G53" s="6">
        <f t="shared" si="9"/>
        <v>46130</v>
      </c>
      <c r="H53" s="6">
        <f t="shared" si="10"/>
        <v>46250</v>
      </c>
      <c r="I53" s="6">
        <f t="shared" si="11"/>
        <v>46250</v>
      </c>
      <c r="J53" s="3">
        <f t="shared" si="12"/>
        <v>0</v>
      </c>
      <c r="K53" s="3" t="str">
        <f t="shared" si="13"/>
        <v>Mechanical Completion</v>
      </c>
      <c r="L53" s="3" t="str">
        <f t="shared" si="14"/>
        <v>In Progress</v>
      </c>
      <c r="M53" s="3" t="str">
        <f t="shared" si="15"/>
        <v>Pending</v>
      </c>
      <c r="N53" s="3" t="str">
        <f t="shared" si="0"/>
        <v>On Time</v>
      </c>
      <c r="P53" s="3">
        <f t="shared" si="2"/>
        <v>1</v>
      </c>
    </row>
    <row r="54" spans="1:16" x14ac:dyDescent="0.35">
      <c r="A54" s="3" t="str">
        <f t="shared" si="3"/>
        <v>PRJ053</v>
      </c>
      <c r="B54" s="8" t="str">
        <f t="shared" si="4"/>
        <v>Skyline Business Centre 053</v>
      </c>
      <c r="C54" s="3" t="str">
        <f t="shared" si="5"/>
        <v>Central Kerala</v>
      </c>
      <c r="D54" s="3" t="str">
        <f t="shared" si="6"/>
        <v>Idukki</v>
      </c>
      <c r="E54" s="3" t="str">
        <f t="shared" si="7"/>
        <v>Hotel</v>
      </c>
      <c r="F54" s="4">
        <f t="shared" si="8"/>
        <v>42</v>
      </c>
      <c r="G54" s="6">
        <f t="shared" si="9"/>
        <v>46137</v>
      </c>
      <c r="H54" s="6">
        <f t="shared" si="10"/>
        <v>46287</v>
      </c>
      <c r="I54" s="6" t="str">
        <f t="shared" si="11"/>
        <v/>
      </c>
      <c r="J54" s="3" t="str">
        <f t="shared" si="12"/>
        <v/>
      </c>
      <c r="K54" s="3" t="str">
        <f t="shared" si="13"/>
        <v>Testing &amp; Commissioning</v>
      </c>
      <c r="L54" s="3" t="str">
        <f t="shared" si="14"/>
        <v>In Progress</v>
      </c>
      <c r="M54" s="3" t="str">
        <f t="shared" si="15"/>
        <v>Pending</v>
      </c>
      <c r="N54" s="3" t="str">
        <f t="shared" si="0"/>
        <v>In Progress</v>
      </c>
      <c r="P54" s="3">
        <f t="shared" si="2"/>
        <v>1</v>
      </c>
    </row>
    <row r="55" spans="1:16" x14ac:dyDescent="0.35">
      <c r="A55" s="3" t="str">
        <f t="shared" si="3"/>
        <v>PRJ054</v>
      </c>
      <c r="B55" s="8" t="str">
        <f t="shared" si="4"/>
        <v>Harmony Business Centre 054</v>
      </c>
      <c r="C55" s="3" t="str">
        <f t="shared" si="5"/>
        <v>South Kerala</v>
      </c>
      <c r="D55" s="3" t="str">
        <f t="shared" si="6"/>
        <v>Kollam</v>
      </c>
      <c r="E55" s="3" t="str">
        <f t="shared" si="7"/>
        <v>Commercial</v>
      </c>
      <c r="F55" s="4">
        <f t="shared" si="8"/>
        <v>65</v>
      </c>
      <c r="G55" s="6">
        <f t="shared" si="9"/>
        <v>46144</v>
      </c>
      <c r="H55" s="6">
        <f t="shared" si="10"/>
        <v>46324</v>
      </c>
      <c r="I55" s="6">
        <f t="shared" si="11"/>
        <v>46322</v>
      </c>
      <c r="J55" s="3">
        <f t="shared" si="12"/>
        <v>-2</v>
      </c>
      <c r="K55" s="3" t="str">
        <f t="shared" si="13"/>
        <v>Handover</v>
      </c>
      <c r="L55" s="3" t="str">
        <f t="shared" si="14"/>
        <v>Completed</v>
      </c>
      <c r="M55" s="3" t="str">
        <f t="shared" si="15"/>
        <v>Completed</v>
      </c>
      <c r="N55" s="3" t="str">
        <f t="shared" si="0"/>
        <v>Early</v>
      </c>
      <c r="P55" s="3">
        <f t="shared" si="2"/>
        <v>1</v>
      </c>
    </row>
    <row r="56" spans="1:16" x14ac:dyDescent="0.35">
      <c r="A56" s="3" t="str">
        <f t="shared" si="3"/>
        <v>PRJ055</v>
      </c>
      <c r="B56" s="8" t="str">
        <f t="shared" si="4"/>
        <v>Lakeside Business Centre 055</v>
      </c>
      <c r="C56" s="3" t="str">
        <f t="shared" si="5"/>
        <v>North Kerala</v>
      </c>
      <c r="D56" s="3" t="str">
        <f t="shared" si="6"/>
        <v>Wayanad</v>
      </c>
      <c r="E56" s="3" t="str">
        <f t="shared" si="7"/>
        <v>Residential</v>
      </c>
      <c r="F56" s="4">
        <f t="shared" si="8"/>
        <v>38</v>
      </c>
      <c r="G56" s="6">
        <f t="shared" si="9"/>
        <v>46151</v>
      </c>
      <c r="H56" s="6">
        <f t="shared" si="10"/>
        <v>46361</v>
      </c>
      <c r="I56" s="6">
        <f t="shared" si="11"/>
        <v>46371</v>
      </c>
      <c r="J56" s="3">
        <f t="shared" si="12"/>
        <v>10</v>
      </c>
      <c r="K56" s="3" t="str">
        <f t="shared" si="13"/>
        <v>Material Ordered</v>
      </c>
      <c r="L56" s="3" t="str">
        <f t="shared" si="14"/>
        <v>In Progress</v>
      </c>
      <c r="M56" s="3" t="str">
        <f t="shared" si="15"/>
        <v>Pending</v>
      </c>
      <c r="N56" s="3" t="str">
        <f t="shared" si="0"/>
        <v>Delayed</v>
      </c>
      <c r="P56" s="3">
        <f t="shared" si="2"/>
        <v>1</v>
      </c>
    </row>
    <row r="57" spans="1:16" x14ac:dyDescent="0.35">
      <c r="A57" s="3" t="str">
        <f t="shared" si="3"/>
        <v>PRJ056</v>
      </c>
      <c r="B57" s="8" t="str">
        <f t="shared" si="4"/>
        <v>Sunrise Business Centre 056</v>
      </c>
      <c r="C57" s="3" t="str">
        <f t="shared" si="5"/>
        <v>Central Kerala</v>
      </c>
      <c r="D57" s="3" t="str">
        <f t="shared" si="6"/>
        <v>Thrissur</v>
      </c>
      <c r="E57" s="3" t="str">
        <f t="shared" si="7"/>
        <v>Apartment</v>
      </c>
      <c r="F57" s="4">
        <f t="shared" si="8"/>
        <v>55</v>
      </c>
      <c r="G57" s="6">
        <f t="shared" si="9"/>
        <v>46158</v>
      </c>
      <c r="H57" s="6">
        <f t="shared" si="10"/>
        <v>46248</v>
      </c>
      <c r="I57" s="6">
        <f t="shared" si="11"/>
        <v>46243</v>
      </c>
      <c r="J57" s="3">
        <f t="shared" si="12"/>
        <v>-5</v>
      </c>
      <c r="K57" s="3" t="str">
        <f t="shared" si="13"/>
        <v>Material Delivered</v>
      </c>
      <c r="L57" s="3" t="str">
        <f t="shared" si="14"/>
        <v>In Progress</v>
      </c>
      <c r="M57" s="3" t="str">
        <f t="shared" si="15"/>
        <v>Pending</v>
      </c>
      <c r="N57" s="3" t="str">
        <f t="shared" si="0"/>
        <v>Early</v>
      </c>
      <c r="P57" s="3">
        <f t="shared" si="2"/>
        <v>1</v>
      </c>
    </row>
    <row r="58" spans="1:16" x14ac:dyDescent="0.35">
      <c r="A58" s="3" t="str">
        <f t="shared" si="3"/>
        <v>PRJ057</v>
      </c>
      <c r="B58" s="8" t="str">
        <f t="shared" si="4"/>
        <v>Silver Oak Business Centre 057</v>
      </c>
      <c r="C58" s="3" t="str">
        <f t="shared" si="5"/>
        <v>South Kerala</v>
      </c>
      <c r="D58" s="3" t="str">
        <f t="shared" si="6"/>
        <v>Trivandrum</v>
      </c>
      <c r="E58" s="3" t="str">
        <f t="shared" si="7"/>
        <v>Hospital</v>
      </c>
      <c r="F58" s="4">
        <f t="shared" si="8"/>
        <v>27</v>
      </c>
      <c r="G58" s="6">
        <f t="shared" si="9"/>
        <v>46165</v>
      </c>
      <c r="H58" s="6">
        <f t="shared" si="10"/>
        <v>46285</v>
      </c>
      <c r="I58" s="6" t="str">
        <f t="shared" si="11"/>
        <v/>
      </c>
      <c r="J58" s="3" t="str">
        <f t="shared" si="12"/>
        <v/>
      </c>
      <c r="K58" s="3" t="str">
        <f t="shared" si="13"/>
        <v>Installation Started</v>
      </c>
      <c r="L58" s="3" t="str">
        <f t="shared" si="14"/>
        <v>In Progress</v>
      </c>
      <c r="M58" s="3" t="str">
        <f t="shared" si="15"/>
        <v>Pending</v>
      </c>
      <c r="N58" s="3" t="str">
        <f t="shared" si="0"/>
        <v>In Progress</v>
      </c>
      <c r="P58" s="3">
        <f t="shared" si="2"/>
        <v>1</v>
      </c>
    </row>
    <row r="59" spans="1:16" x14ac:dyDescent="0.35">
      <c r="A59" s="3" t="str">
        <f t="shared" si="3"/>
        <v>PRJ058</v>
      </c>
      <c r="B59" s="8" t="str">
        <f t="shared" si="4"/>
        <v>River View Business Centre 058</v>
      </c>
      <c r="C59" s="3" t="str">
        <f t="shared" si="5"/>
        <v>North Kerala</v>
      </c>
      <c r="D59" s="3" t="str">
        <f t="shared" si="6"/>
        <v>Kozhikode</v>
      </c>
      <c r="E59" s="3" t="str">
        <f t="shared" si="7"/>
        <v>Office</v>
      </c>
      <c r="F59" s="4">
        <f t="shared" si="8"/>
        <v>21</v>
      </c>
      <c r="G59" s="6">
        <f t="shared" si="9"/>
        <v>46172</v>
      </c>
      <c r="H59" s="6">
        <f t="shared" si="10"/>
        <v>46322</v>
      </c>
      <c r="I59" s="6">
        <f t="shared" si="11"/>
        <v>46329</v>
      </c>
      <c r="J59" s="3">
        <f t="shared" si="12"/>
        <v>7</v>
      </c>
      <c r="K59" s="3" t="str">
        <f t="shared" si="13"/>
        <v>Mechanical Completion</v>
      </c>
      <c r="L59" s="3" t="str">
        <f t="shared" si="14"/>
        <v>In Progress</v>
      </c>
      <c r="M59" s="3" t="str">
        <f t="shared" si="15"/>
        <v>Pending</v>
      </c>
      <c r="N59" s="3" t="str">
        <f t="shared" si="0"/>
        <v>Delayed</v>
      </c>
      <c r="P59" s="3">
        <f t="shared" si="2"/>
        <v>1</v>
      </c>
    </row>
    <row r="60" spans="1:16" x14ac:dyDescent="0.35">
      <c r="A60" s="3" t="str">
        <f t="shared" si="3"/>
        <v>PRJ059</v>
      </c>
      <c r="B60" s="8" t="str">
        <f t="shared" si="4"/>
        <v>Golden Gate Business Centre 059</v>
      </c>
      <c r="C60" s="3" t="str">
        <f t="shared" si="5"/>
        <v>Central Kerala</v>
      </c>
      <c r="D60" s="3" t="str">
        <f t="shared" si="6"/>
        <v>Idukki</v>
      </c>
      <c r="E60" s="3" t="str">
        <f t="shared" si="7"/>
        <v>Hotel</v>
      </c>
      <c r="F60" s="4">
        <f t="shared" si="8"/>
        <v>48</v>
      </c>
      <c r="G60" s="6">
        <f t="shared" si="9"/>
        <v>46179</v>
      </c>
      <c r="H60" s="6">
        <f t="shared" si="10"/>
        <v>46359</v>
      </c>
      <c r="I60" s="6">
        <f t="shared" si="11"/>
        <v>46357</v>
      </c>
      <c r="J60" s="3">
        <f t="shared" si="12"/>
        <v>-2</v>
      </c>
      <c r="K60" s="3" t="str">
        <f t="shared" si="13"/>
        <v>Testing &amp; Commissioning</v>
      </c>
      <c r="L60" s="3" t="str">
        <f t="shared" si="14"/>
        <v>In Progress</v>
      </c>
      <c r="M60" s="3" t="str">
        <f t="shared" si="15"/>
        <v>Pending</v>
      </c>
      <c r="N60" s="3" t="str">
        <f t="shared" si="0"/>
        <v>Early</v>
      </c>
      <c r="P60" s="3">
        <f t="shared" si="2"/>
        <v>1</v>
      </c>
    </row>
    <row r="61" spans="1:16" x14ac:dyDescent="0.35">
      <c r="A61" s="3" t="str">
        <f t="shared" si="3"/>
        <v>PRJ060</v>
      </c>
      <c r="B61" s="8" t="str">
        <f t="shared" si="4"/>
        <v>Emerald Business Centre 060</v>
      </c>
      <c r="C61" s="3" t="str">
        <f t="shared" si="5"/>
        <v>South Kerala</v>
      </c>
      <c r="D61" s="3" t="str">
        <f t="shared" si="6"/>
        <v>Alappuzha</v>
      </c>
      <c r="E61" s="3" t="str">
        <f t="shared" si="7"/>
        <v>Commercial</v>
      </c>
      <c r="F61" s="4">
        <f t="shared" si="8"/>
        <v>32</v>
      </c>
      <c r="G61" s="6">
        <f t="shared" si="9"/>
        <v>46186</v>
      </c>
      <c r="H61" s="6">
        <f t="shared" si="10"/>
        <v>46396</v>
      </c>
      <c r="I61" s="6">
        <f t="shared" si="11"/>
        <v>46406</v>
      </c>
      <c r="J61" s="3">
        <f t="shared" si="12"/>
        <v>10</v>
      </c>
      <c r="K61" s="3" t="str">
        <f t="shared" si="13"/>
        <v>Handover</v>
      </c>
      <c r="L61" s="3" t="str">
        <f t="shared" si="14"/>
        <v>Completed</v>
      </c>
      <c r="M61" s="3" t="str">
        <f t="shared" si="15"/>
        <v>Completed</v>
      </c>
      <c r="N61" s="3" t="str">
        <f t="shared" si="0"/>
        <v>Delayed</v>
      </c>
      <c r="P61" s="3">
        <f t="shared" si="2"/>
        <v>1</v>
      </c>
    </row>
    <row r="62" spans="1:16" x14ac:dyDescent="0.35">
      <c r="A62" s="3" t="str">
        <f t="shared" si="3"/>
        <v>PRJ061</v>
      </c>
      <c r="B62" s="8" t="str">
        <f t="shared" si="4"/>
        <v>Green Valley Grand Hotel 061</v>
      </c>
      <c r="C62" s="3" t="str">
        <f t="shared" si="5"/>
        <v>North Kerala</v>
      </c>
      <c r="D62" s="3" t="str">
        <f t="shared" si="6"/>
        <v>Kannur</v>
      </c>
      <c r="E62" s="3" t="str">
        <f t="shared" si="7"/>
        <v>Residential</v>
      </c>
      <c r="F62" s="4">
        <f t="shared" si="8"/>
        <v>18</v>
      </c>
      <c r="G62" s="6">
        <f t="shared" si="9"/>
        <v>46193</v>
      </c>
      <c r="H62" s="6">
        <f t="shared" si="10"/>
        <v>46283</v>
      </c>
      <c r="I62" s="6" t="str">
        <f t="shared" si="11"/>
        <v/>
      </c>
      <c r="J62" s="3" t="str">
        <f t="shared" si="12"/>
        <v/>
      </c>
      <c r="K62" s="3" t="str">
        <f t="shared" si="13"/>
        <v>Material Ordered</v>
      </c>
      <c r="L62" s="3" t="str">
        <f t="shared" si="14"/>
        <v>In Progress</v>
      </c>
      <c r="M62" s="3" t="str">
        <f t="shared" si="15"/>
        <v>Pending</v>
      </c>
      <c r="N62" s="3" t="str">
        <f t="shared" si="0"/>
        <v>In Progress</v>
      </c>
      <c r="P62" s="3">
        <f t="shared" si="2"/>
        <v>1</v>
      </c>
    </row>
    <row r="63" spans="1:16" x14ac:dyDescent="0.35">
      <c r="A63" s="3" t="str">
        <f t="shared" si="3"/>
        <v>PRJ062</v>
      </c>
      <c r="B63" s="8" t="str">
        <f t="shared" si="4"/>
        <v>Royal Palm Grand Hotel 062</v>
      </c>
      <c r="C63" s="3" t="str">
        <f t="shared" si="5"/>
        <v>Central Kerala</v>
      </c>
      <c r="D63" s="3" t="str">
        <f t="shared" si="6"/>
        <v>Thrissur</v>
      </c>
      <c r="E63" s="3" t="str">
        <f t="shared" si="7"/>
        <v>Apartment</v>
      </c>
      <c r="F63" s="4">
        <f t="shared" si="8"/>
        <v>24</v>
      </c>
      <c r="G63" s="6">
        <f t="shared" si="9"/>
        <v>46200</v>
      </c>
      <c r="H63" s="6">
        <f t="shared" si="10"/>
        <v>46320</v>
      </c>
      <c r="I63" s="6">
        <f t="shared" si="11"/>
        <v>46320</v>
      </c>
      <c r="J63" s="3">
        <f t="shared" si="12"/>
        <v>0</v>
      </c>
      <c r="K63" s="3" t="str">
        <f t="shared" si="13"/>
        <v>Material Delivered</v>
      </c>
      <c r="L63" s="3" t="str">
        <f t="shared" si="14"/>
        <v>In Progress</v>
      </c>
      <c r="M63" s="3" t="str">
        <f t="shared" si="15"/>
        <v>Pending</v>
      </c>
      <c r="N63" s="3" t="str">
        <f t="shared" si="0"/>
        <v>On Time</v>
      </c>
      <c r="P63" s="3">
        <f t="shared" si="2"/>
        <v>1</v>
      </c>
    </row>
    <row r="64" spans="1:16" x14ac:dyDescent="0.35">
      <c r="A64" s="3" t="str">
        <f t="shared" si="3"/>
        <v>PRJ063</v>
      </c>
      <c r="B64" s="8" t="str">
        <f t="shared" si="4"/>
        <v>Skyline Grand Hotel 063</v>
      </c>
      <c r="C64" s="3" t="str">
        <f t="shared" si="5"/>
        <v>South Kerala</v>
      </c>
      <c r="D64" s="3" t="str">
        <f t="shared" si="6"/>
        <v>Pathanamthitta</v>
      </c>
      <c r="E64" s="3" t="str">
        <f t="shared" si="7"/>
        <v>Hospital</v>
      </c>
      <c r="F64" s="4">
        <f t="shared" si="8"/>
        <v>42</v>
      </c>
      <c r="G64" s="6">
        <f t="shared" si="9"/>
        <v>46027</v>
      </c>
      <c r="H64" s="6">
        <f t="shared" si="10"/>
        <v>46177</v>
      </c>
      <c r="I64" s="6">
        <f t="shared" si="11"/>
        <v>46184</v>
      </c>
      <c r="J64" s="3">
        <f t="shared" si="12"/>
        <v>7</v>
      </c>
      <c r="K64" s="3" t="str">
        <f t="shared" si="13"/>
        <v>Installation Started</v>
      </c>
      <c r="L64" s="3" t="str">
        <f t="shared" si="14"/>
        <v>In Progress</v>
      </c>
      <c r="M64" s="3" t="str">
        <f t="shared" si="15"/>
        <v>Pending</v>
      </c>
      <c r="N64" s="3" t="str">
        <f t="shared" si="0"/>
        <v>Delayed</v>
      </c>
      <c r="P64" s="3">
        <f t="shared" si="2"/>
        <v>1</v>
      </c>
    </row>
    <row r="65" spans="1:16" x14ac:dyDescent="0.35">
      <c r="A65" s="3" t="str">
        <f t="shared" si="3"/>
        <v>PRJ064</v>
      </c>
      <c r="B65" s="8" t="str">
        <f t="shared" si="4"/>
        <v>Harmony Grand Hotel 064</v>
      </c>
      <c r="C65" s="3" t="str">
        <f t="shared" si="5"/>
        <v>North Kerala</v>
      </c>
      <c r="D65" s="3" t="str">
        <f t="shared" si="6"/>
        <v>Kasaragod</v>
      </c>
      <c r="E65" s="3" t="str">
        <f t="shared" si="7"/>
        <v>Office</v>
      </c>
      <c r="F65" s="4">
        <f t="shared" si="8"/>
        <v>65</v>
      </c>
      <c r="G65" s="6">
        <f t="shared" si="9"/>
        <v>46034</v>
      </c>
      <c r="H65" s="6">
        <f t="shared" si="10"/>
        <v>46214</v>
      </c>
      <c r="I65" s="6">
        <f t="shared" si="11"/>
        <v>46212</v>
      </c>
      <c r="J65" s="3">
        <f t="shared" si="12"/>
        <v>-2</v>
      </c>
      <c r="K65" s="3" t="str">
        <f t="shared" si="13"/>
        <v>Mechanical Completion</v>
      </c>
      <c r="L65" s="3" t="str">
        <f t="shared" si="14"/>
        <v>In Progress</v>
      </c>
      <c r="M65" s="3" t="str">
        <f t="shared" si="15"/>
        <v>Pending</v>
      </c>
      <c r="N65" s="3" t="str">
        <f t="shared" si="0"/>
        <v>Early</v>
      </c>
      <c r="P65" s="3">
        <f t="shared" si="2"/>
        <v>1</v>
      </c>
    </row>
    <row r="66" spans="1:16" x14ac:dyDescent="0.35">
      <c r="A66" s="3" t="str">
        <f t="shared" si="3"/>
        <v>PRJ065</v>
      </c>
      <c r="B66" s="8" t="str">
        <f t="shared" si="4"/>
        <v>Lakeside Grand Hotel 065</v>
      </c>
      <c r="C66" s="3" t="str">
        <f t="shared" si="5"/>
        <v>Central Kerala</v>
      </c>
      <c r="D66" s="3" t="str">
        <f t="shared" si="6"/>
        <v>Idukki</v>
      </c>
      <c r="E66" s="3" t="str">
        <f t="shared" si="7"/>
        <v>Hotel</v>
      </c>
      <c r="F66" s="4">
        <f t="shared" si="8"/>
        <v>38</v>
      </c>
      <c r="G66" s="6">
        <f t="shared" si="9"/>
        <v>46041</v>
      </c>
      <c r="H66" s="6">
        <f t="shared" si="10"/>
        <v>46251</v>
      </c>
      <c r="I66" s="6" t="str">
        <f t="shared" si="11"/>
        <v/>
      </c>
      <c r="J66" s="3" t="str">
        <f t="shared" si="12"/>
        <v/>
      </c>
      <c r="K66" s="3" t="str">
        <f t="shared" si="13"/>
        <v>Testing &amp; Commissioning</v>
      </c>
      <c r="L66" s="3" t="str">
        <f t="shared" si="14"/>
        <v>In Progress</v>
      </c>
      <c r="M66" s="3" t="str">
        <f t="shared" si="15"/>
        <v>Pending</v>
      </c>
      <c r="N66" s="3" t="str">
        <f t="shared" ref="N66:N129" si="16">IF(I66="","In Progress",IF(J66&gt;0,"Delayed",IF(J66=0,"On Time","Early")))</f>
        <v>In Progress</v>
      </c>
      <c r="P66" s="3">
        <f t="shared" si="2"/>
        <v>1</v>
      </c>
    </row>
    <row r="67" spans="1:16" x14ac:dyDescent="0.35">
      <c r="A67" s="3" t="str">
        <f t="shared" si="3"/>
        <v>PRJ066</v>
      </c>
      <c r="B67" s="8" t="str">
        <f t="shared" si="4"/>
        <v>Sunrise Grand Hotel 066</v>
      </c>
      <c r="C67" s="3" t="str">
        <f t="shared" si="5"/>
        <v>South Kerala</v>
      </c>
      <c r="D67" s="3" t="str">
        <f t="shared" si="6"/>
        <v>Kollam</v>
      </c>
      <c r="E67" s="3" t="str">
        <f t="shared" si="7"/>
        <v>Commercial</v>
      </c>
      <c r="F67" s="4">
        <f t="shared" si="8"/>
        <v>55</v>
      </c>
      <c r="G67" s="6">
        <f t="shared" si="9"/>
        <v>46048</v>
      </c>
      <c r="H67" s="6">
        <f t="shared" si="10"/>
        <v>46138</v>
      </c>
      <c r="I67" s="6">
        <f t="shared" si="11"/>
        <v>46133</v>
      </c>
      <c r="J67" s="3">
        <f t="shared" si="12"/>
        <v>-5</v>
      </c>
      <c r="K67" s="3" t="str">
        <f t="shared" si="13"/>
        <v>Handover</v>
      </c>
      <c r="L67" s="3" t="str">
        <f t="shared" si="14"/>
        <v>Completed</v>
      </c>
      <c r="M67" s="3" t="str">
        <f t="shared" si="15"/>
        <v>Completed</v>
      </c>
      <c r="N67" s="3" t="str">
        <f t="shared" si="16"/>
        <v>Early</v>
      </c>
      <c r="P67" s="3">
        <f t="shared" ref="P67:P130" si="17">COUNTIF($A$2:$A$306,A67)</f>
        <v>1</v>
      </c>
    </row>
    <row r="68" spans="1:16" x14ac:dyDescent="0.35">
      <c r="A68" s="3" t="str">
        <f t="shared" si="3"/>
        <v>PRJ067</v>
      </c>
      <c r="B68" s="8" t="str">
        <f t="shared" si="4"/>
        <v>Silver Oak Grand Hotel 067</v>
      </c>
      <c r="C68" s="3" t="str">
        <f t="shared" si="5"/>
        <v>North Kerala</v>
      </c>
      <c r="D68" s="3" t="str">
        <f t="shared" si="6"/>
        <v>Wayanad</v>
      </c>
      <c r="E68" s="3" t="str">
        <f t="shared" si="7"/>
        <v>Residential</v>
      </c>
      <c r="F68" s="4">
        <f t="shared" si="8"/>
        <v>27</v>
      </c>
      <c r="G68" s="6">
        <f t="shared" si="9"/>
        <v>46055</v>
      </c>
      <c r="H68" s="6">
        <f t="shared" si="10"/>
        <v>46175</v>
      </c>
      <c r="I68" s="6">
        <f t="shared" si="11"/>
        <v>46175</v>
      </c>
      <c r="J68" s="3">
        <f t="shared" si="12"/>
        <v>0</v>
      </c>
      <c r="K68" s="3" t="str">
        <f t="shared" si="13"/>
        <v>Material Ordered</v>
      </c>
      <c r="L68" s="3" t="str">
        <f t="shared" si="14"/>
        <v>In Progress</v>
      </c>
      <c r="M68" s="3" t="str">
        <f t="shared" si="15"/>
        <v>Pending</v>
      </c>
      <c r="N68" s="3" t="str">
        <f t="shared" si="16"/>
        <v>On Time</v>
      </c>
      <c r="P68" s="3">
        <f t="shared" si="17"/>
        <v>1</v>
      </c>
    </row>
    <row r="69" spans="1:16" x14ac:dyDescent="0.35">
      <c r="A69" s="3" t="str">
        <f t="shared" si="3"/>
        <v>PRJ068</v>
      </c>
      <c r="B69" s="8" t="str">
        <f t="shared" si="4"/>
        <v>River View Grand Hotel 068</v>
      </c>
      <c r="C69" s="3" t="str">
        <f t="shared" si="5"/>
        <v>Central Kerala</v>
      </c>
      <c r="D69" s="3" t="str">
        <f t="shared" si="6"/>
        <v>Thrissur</v>
      </c>
      <c r="E69" s="3" t="str">
        <f t="shared" si="7"/>
        <v>Apartment</v>
      </c>
      <c r="F69" s="4">
        <f t="shared" si="8"/>
        <v>21</v>
      </c>
      <c r="G69" s="6">
        <f t="shared" si="9"/>
        <v>46062</v>
      </c>
      <c r="H69" s="6">
        <f t="shared" si="10"/>
        <v>46212</v>
      </c>
      <c r="I69" s="6">
        <f t="shared" si="11"/>
        <v>46219</v>
      </c>
      <c r="J69" s="3">
        <f t="shared" si="12"/>
        <v>7</v>
      </c>
      <c r="K69" s="3" t="str">
        <f t="shared" si="13"/>
        <v>Material Delivered</v>
      </c>
      <c r="L69" s="3" t="str">
        <f t="shared" si="14"/>
        <v>In Progress</v>
      </c>
      <c r="M69" s="3" t="str">
        <f t="shared" si="15"/>
        <v>Pending</v>
      </c>
      <c r="N69" s="3" t="str">
        <f t="shared" si="16"/>
        <v>Delayed</v>
      </c>
      <c r="P69" s="3">
        <f t="shared" si="17"/>
        <v>1</v>
      </c>
    </row>
    <row r="70" spans="1:16" x14ac:dyDescent="0.35">
      <c r="A70" s="3" t="str">
        <f t="shared" si="3"/>
        <v>PRJ069</v>
      </c>
      <c r="B70" s="8" t="str">
        <f t="shared" si="4"/>
        <v>Golden Gate Grand Hotel 069</v>
      </c>
      <c r="C70" s="3" t="str">
        <f t="shared" si="5"/>
        <v>South Kerala</v>
      </c>
      <c r="D70" s="3" t="str">
        <f t="shared" si="6"/>
        <v>Trivandrum</v>
      </c>
      <c r="E70" s="3" t="str">
        <f t="shared" si="7"/>
        <v>Hospital</v>
      </c>
      <c r="F70" s="4">
        <f t="shared" si="8"/>
        <v>48</v>
      </c>
      <c r="G70" s="6">
        <f t="shared" si="9"/>
        <v>46069</v>
      </c>
      <c r="H70" s="6">
        <f t="shared" si="10"/>
        <v>46249</v>
      </c>
      <c r="I70" s="6" t="str">
        <f t="shared" si="11"/>
        <v/>
      </c>
      <c r="J70" s="3" t="str">
        <f t="shared" si="12"/>
        <v/>
      </c>
      <c r="K70" s="3" t="str">
        <f t="shared" si="13"/>
        <v>Installation Started</v>
      </c>
      <c r="L70" s="3" t="str">
        <f t="shared" si="14"/>
        <v>In Progress</v>
      </c>
      <c r="M70" s="3" t="str">
        <f t="shared" si="15"/>
        <v>Pending</v>
      </c>
      <c r="N70" s="3" t="str">
        <f t="shared" si="16"/>
        <v>In Progress</v>
      </c>
      <c r="P70" s="3">
        <f t="shared" si="17"/>
        <v>1</v>
      </c>
    </row>
    <row r="71" spans="1:16" x14ac:dyDescent="0.35">
      <c r="A71" s="3" t="str">
        <f t="shared" si="3"/>
        <v>PRJ070</v>
      </c>
      <c r="B71" s="8" t="str">
        <f t="shared" si="4"/>
        <v>Emerald Grand Hotel 070</v>
      </c>
      <c r="C71" s="3" t="str">
        <f t="shared" si="5"/>
        <v>North Kerala</v>
      </c>
      <c r="D71" s="3" t="str">
        <f t="shared" si="6"/>
        <v>Kozhikode</v>
      </c>
      <c r="E71" s="3" t="str">
        <f t="shared" si="7"/>
        <v>Office</v>
      </c>
      <c r="F71" s="4">
        <f t="shared" si="8"/>
        <v>32</v>
      </c>
      <c r="G71" s="6">
        <f t="shared" si="9"/>
        <v>46076</v>
      </c>
      <c r="H71" s="6">
        <f t="shared" si="10"/>
        <v>46286</v>
      </c>
      <c r="I71" s="6">
        <f t="shared" si="11"/>
        <v>46296</v>
      </c>
      <c r="J71" s="3">
        <f t="shared" si="12"/>
        <v>10</v>
      </c>
      <c r="K71" s="3" t="str">
        <f t="shared" si="13"/>
        <v>Mechanical Completion</v>
      </c>
      <c r="L71" s="3" t="str">
        <f t="shared" si="14"/>
        <v>In Progress</v>
      </c>
      <c r="M71" s="3" t="str">
        <f t="shared" si="15"/>
        <v>Pending</v>
      </c>
      <c r="N71" s="3" t="str">
        <f t="shared" si="16"/>
        <v>Delayed</v>
      </c>
      <c r="P71" s="3">
        <f t="shared" si="17"/>
        <v>1</v>
      </c>
    </row>
    <row r="72" spans="1:16" x14ac:dyDescent="0.35">
      <c r="A72" s="3" t="str">
        <f t="shared" si="3"/>
        <v>PRJ071</v>
      </c>
      <c r="B72" s="8" t="str">
        <f t="shared" si="4"/>
        <v>Green Valley Care Hospital 071</v>
      </c>
      <c r="C72" s="3" t="str">
        <f t="shared" si="5"/>
        <v>Central Kerala</v>
      </c>
      <c r="D72" s="3" t="str">
        <f t="shared" si="6"/>
        <v>Idukki</v>
      </c>
      <c r="E72" s="3" t="str">
        <f t="shared" si="7"/>
        <v>Hotel</v>
      </c>
      <c r="F72" s="4">
        <f t="shared" si="8"/>
        <v>18</v>
      </c>
      <c r="G72" s="6">
        <f t="shared" si="9"/>
        <v>46083</v>
      </c>
      <c r="H72" s="6">
        <f t="shared" si="10"/>
        <v>46173</v>
      </c>
      <c r="I72" s="6">
        <f t="shared" si="11"/>
        <v>46168</v>
      </c>
      <c r="J72" s="3">
        <f t="shared" si="12"/>
        <v>-5</v>
      </c>
      <c r="K72" s="3" t="str">
        <f t="shared" si="13"/>
        <v>Testing &amp; Commissioning</v>
      </c>
      <c r="L72" s="3" t="str">
        <f t="shared" si="14"/>
        <v>In Progress</v>
      </c>
      <c r="M72" s="3" t="str">
        <f t="shared" si="15"/>
        <v>Pending</v>
      </c>
      <c r="N72" s="3" t="str">
        <f t="shared" si="16"/>
        <v>Early</v>
      </c>
      <c r="P72" s="3">
        <f t="shared" si="17"/>
        <v>1</v>
      </c>
    </row>
    <row r="73" spans="1:16" x14ac:dyDescent="0.35">
      <c r="A73" s="3" t="str">
        <f t="shared" si="3"/>
        <v>PRJ072</v>
      </c>
      <c r="B73" s="8" t="str">
        <f t="shared" si="4"/>
        <v>Royal Palm Care Hospital 072</v>
      </c>
      <c r="C73" s="3" t="str">
        <f t="shared" si="5"/>
        <v>South Kerala</v>
      </c>
      <c r="D73" s="3" t="str">
        <f t="shared" si="6"/>
        <v>Alappuzha</v>
      </c>
      <c r="E73" s="3" t="str">
        <f t="shared" si="7"/>
        <v>Commercial</v>
      </c>
      <c r="F73" s="4">
        <f t="shared" si="8"/>
        <v>24</v>
      </c>
      <c r="G73" s="6">
        <f t="shared" si="9"/>
        <v>46090</v>
      </c>
      <c r="H73" s="6">
        <f t="shared" si="10"/>
        <v>46210</v>
      </c>
      <c r="I73" s="6">
        <f t="shared" si="11"/>
        <v>46210</v>
      </c>
      <c r="J73" s="3">
        <f t="shared" si="12"/>
        <v>0</v>
      </c>
      <c r="K73" s="3" t="str">
        <f t="shared" si="13"/>
        <v>Handover</v>
      </c>
      <c r="L73" s="3" t="str">
        <f t="shared" si="14"/>
        <v>Completed</v>
      </c>
      <c r="M73" s="3" t="str">
        <f t="shared" si="15"/>
        <v>Completed</v>
      </c>
      <c r="N73" s="3" t="str">
        <f t="shared" si="16"/>
        <v>On Time</v>
      </c>
      <c r="P73" s="3">
        <f t="shared" si="17"/>
        <v>1</v>
      </c>
    </row>
    <row r="74" spans="1:16" x14ac:dyDescent="0.35">
      <c r="A74" s="3" t="str">
        <f t="shared" si="3"/>
        <v>PRJ073</v>
      </c>
      <c r="B74" s="8" t="str">
        <f t="shared" si="4"/>
        <v>Skyline Care Hospital 073</v>
      </c>
      <c r="C74" s="3" t="str">
        <f t="shared" si="5"/>
        <v>North Kerala</v>
      </c>
      <c r="D74" s="3" t="str">
        <f t="shared" si="6"/>
        <v>Kannur</v>
      </c>
      <c r="E74" s="3" t="str">
        <f t="shared" si="7"/>
        <v>Residential</v>
      </c>
      <c r="F74" s="4">
        <f t="shared" si="8"/>
        <v>42</v>
      </c>
      <c r="G74" s="6">
        <f t="shared" si="9"/>
        <v>46097</v>
      </c>
      <c r="H74" s="6">
        <f t="shared" si="10"/>
        <v>46247</v>
      </c>
      <c r="I74" s="6" t="str">
        <f t="shared" si="11"/>
        <v/>
      </c>
      <c r="J74" s="3" t="str">
        <f t="shared" si="12"/>
        <v/>
      </c>
      <c r="K74" s="3" t="str">
        <f t="shared" si="13"/>
        <v>Material Ordered</v>
      </c>
      <c r="L74" s="3" t="str">
        <f t="shared" si="14"/>
        <v>In Progress</v>
      </c>
      <c r="M74" s="3" t="str">
        <f t="shared" si="15"/>
        <v>Pending</v>
      </c>
      <c r="N74" s="3" t="str">
        <f t="shared" si="16"/>
        <v>In Progress</v>
      </c>
      <c r="P74" s="3">
        <f t="shared" si="17"/>
        <v>1</v>
      </c>
    </row>
    <row r="75" spans="1:16" x14ac:dyDescent="0.35">
      <c r="A75" s="3" t="str">
        <f t="shared" si="3"/>
        <v>PRJ074</v>
      </c>
      <c r="B75" s="8" t="str">
        <f t="shared" si="4"/>
        <v>Harmony Care Hospital 074</v>
      </c>
      <c r="C75" s="3" t="str">
        <f t="shared" si="5"/>
        <v>Central Kerala</v>
      </c>
      <c r="D75" s="3" t="str">
        <f t="shared" si="6"/>
        <v>Thrissur</v>
      </c>
      <c r="E75" s="3" t="str">
        <f t="shared" si="7"/>
        <v>Apartment</v>
      </c>
      <c r="F75" s="4">
        <f t="shared" si="8"/>
        <v>65</v>
      </c>
      <c r="G75" s="6">
        <f t="shared" si="9"/>
        <v>46104</v>
      </c>
      <c r="H75" s="6">
        <f t="shared" si="10"/>
        <v>46284</v>
      </c>
      <c r="I75" s="6">
        <f t="shared" si="11"/>
        <v>46282</v>
      </c>
      <c r="J75" s="3">
        <f t="shared" si="12"/>
        <v>-2</v>
      </c>
      <c r="K75" s="3" t="str">
        <f t="shared" si="13"/>
        <v>Material Delivered</v>
      </c>
      <c r="L75" s="3" t="str">
        <f t="shared" si="14"/>
        <v>In Progress</v>
      </c>
      <c r="M75" s="3" t="str">
        <f t="shared" si="15"/>
        <v>Pending</v>
      </c>
      <c r="N75" s="3" t="str">
        <f t="shared" si="16"/>
        <v>Early</v>
      </c>
      <c r="P75" s="3">
        <f t="shared" si="17"/>
        <v>1</v>
      </c>
    </row>
    <row r="76" spans="1:16" x14ac:dyDescent="0.35">
      <c r="A76" s="3" t="str">
        <f t="shared" si="3"/>
        <v>PRJ075</v>
      </c>
      <c r="B76" s="8" t="str">
        <f t="shared" si="4"/>
        <v>Lakeside Care Hospital 075</v>
      </c>
      <c r="C76" s="3" t="str">
        <f t="shared" si="5"/>
        <v>South Kerala</v>
      </c>
      <c r="D76" s="3" t="str">
        <f t="shared" si="6"/>
        <v>Pathanamthitta</v>
      </c>
      <c r="E76" s="3" t="str">
        <f t="shared" si="7"/>
        <v>Hospital</v>
      </c>
      <c r="F76" s="4">
        <f t="shared" si="8"/>
        <v>38</v>
      </c>
      <c r="G76" s="6">
        <f t="shared" si="9"/>
        <v>46111</v>
      </c>
      <c r="H76" s="6">
        <f t="shared" si="10"/>
        <v>46321</v>
      </c>
      <c r="I76" s="6">
        <f t="shared" si="11"/>
        <v>46331</v>
      </c>
      <c r="J76" s="3">
        <f t="shared" si="12"/>
        <v>10</v>
      </c>
      <c r="K76" s="3" t="str">
        <f t="shared" si="13"/>
        <v>Installation Started</v>
      </c>
      <c r="L76" s="3" t="str">
        <f t="shared" si="14"/>
        <v>In Progress</v>
      </c>
      <c r="M76" s="3" t="str">
        <f t="shared" si="15"/>
        <v>Pending</v>
      </c>
      <c r="N76" s="3" t="str">
        <f t="shared" si="16"/>
        <v>Delayed</v>
      </c>
      <c r="P76" s="3">
        <f t="shared" si="17"/>
        <v>1</v>
      </c>
    </row>
    <row r="77" spans="1:16" x14ac:dyDescent="0.35">
      <c r="A77" s="3" t="str">
        <f t="shared" ref="A77:A140" si="18">"PRJ"&amp;TEXT(ROW()-1,"000")</f>
        <v>PRJ076</v>
      </c>
      <c r="B77" s="8" t="str">
        <f t="shared" ref="B77:B140" si="19">CHOOSE(MOD(ROW()-2,10)+1,"Green Valley","Royal Palm","Skyline","Harmony","Lakeside","Sunrise","Silver Oak","River View","Golden Gate","Emerald")&amp;" "&amp;CHOOSE(MOD(INT((ROW()-2)/10),8)+1,"Residency","Apartments","Heights","Towers","Enclave","Business Centre","Grand Hotel","Care Hospital")&amp;" "&amp;TEXT(ROW()-1,"000")</f>
        <v>Sunrise Care Hospital 076</v>
      </c>
      <c r="C77" s="3" t="str">
        <f t="shared" ref="C77:C140" si="20">CHOOSE(MOD(ROW()-2,3)+1,"North Kerala","Central Kerala","South Kerala")</f>
        <v>North Kerala</v>
      </c>
      <c r="D77" s="3" t="str">
        <f t="shared" ref="D77:D140" si="21">IF(C77="North Kerala",CHOOSE(MOD(ROW()-2,4)+1,"Kannur","Kozhikode","Wayanad","Kasaragod"),IF(C77="Central Kerala",CHOOSE(MOD(ROW()-2,6)+1,"Kochi","Thrissur","Kottayam","Palakkad","Idukki","Alappuzha"),CHOOSE(MOD(ROW()-2,4)+1,"Trivandrum","Kollam","Pathanamthitta","Alappuzha")))</f>
        <v>Kasaragod</v>
      </c>
      <c r="E77" s="3" t="str">
        <f t="shared" ref="E77:E140" si="22">CHOOSE(MOD(ROW()-2,6)+1,"Residential","Apartment","Hospital","Office","Hotel","Commercial")</f>
        <v>Office</v>
      </c>
      <c r="F77" s="4">
        <f t="shared" ref="F77:F140" si="23">CHOOSE(MOD(ROW()-2,10)+1,18,24,42,65,38,55,27,21,48,32)</f>
        <v>55</v>
      </c>
      <c r="G77" s="6">
        <f t="shared" ref="G77:G140" si="24">DATE(2026,1,1)+MOD((ROW()-12)*7,180)</f>
        <v>46118</v>
      </c>
      <c r="H77" s="6">
        <f t="shared" ref="H77:H140" si="25">G77+CHOOSE(MOD(ROW()-2,5)+1,90,120,150,180,210)</f>
        <v>46208</v>
      </c>
      <c r="I77" s="6">
        <f t="shared" ref="I77:I140" si="26">IF(MOD(ROW()-2,4)=0,"",H77+CHOOSE(MOD(ROW()-2,5)+1,-5,0,7,-2,10))</f>
        <v>46203</v>
      </c>
      <c r="J77" s="3">
        <f t="shared" ref="J77:J140" si="27">IF(I77="","",I77-H77)</f>
        <v>-5</v>
      </c>
      <c r="K77" s="3" t="str">
        <f t="shared" ref="K77:K140" si="28">CHOOSE(MOD(ROW()-2,6)+1,"Material Ordered","Material Delivered","Installation Started","Mechanical Completion","Testing &amp; Commissioning","Handover")</f>
        <v>Mechanical Completion</v>
      </c>
      <c r="L77" s="3" t="str">
        <f t="shared" ref="L77:L140" si="29">IF(K77="Handover","Completed","In Progress")</f>
        <v>In Progress</v>
      </c>
      <c r="M77" s="3" t="str">
        <f t="shared" ref="M77:M140" si="30">IF(K77="Handover","Completed","Pending")</f>
        <v>Pending</v>
      </c>
      <c r="N77" s="3" t="str">
        <f t="shared" si="16"/>
        <v>Early</v>
      </c>
      <c r="P77" s="3">
        <f t="shared" si="17"/>
        <v>1</v>
      </c>
    </row>
    <row r="78" spans="1:16" x14ac:dyDescent="0.35">
      <c r="A78" s="3" t="str">
        <f t="shared" si="18"/>
        <v>PRJ077</v>
      </c>
      <c r="B78" s="8" t="str">
        <f t="shared" si="19"/>
        <v>Silver Oak Care Hospital 077</v>
      </c>
      <c r="C78" s="3" t="str">
        <f t="shared" si="20"/>
        <v>Central Kerala</v>
      </c>
      <c r="D78" s="3" t="str">
        <f t="shared" si="21"/>
        <v>Idukki</v>
      </c>
      <c r="E78" s="3" t="str">
        <f t="shared" si="22"/>
        <v>Hotel</v>
      </c>
      <c r="F78" s="4">
        <f t="shared" si="23"/>
        <v>27</v>
      </c>
      <c r="G78" s="6">
        <f t="shared" si="24"/>
        <v>46125</v>
      </c>
      <c r="H78" s="6">
        <f t="shared" si="25"/>
        <v>46245</v>
      </c>
      <c r="I78" s="6" t="str">
        <f t="shared" si="26"/>
        <v/>
      </c>
      <c r="J78" s="3" t="str">
        <f t="shared" si="27"/>
        <v/>
      </c>
      <c r="K78" s="3" t="str">
        <f t="shared" si="28"/>
        <v>Testing &amp; Commissioning</v>
      </c>
      <c r="L78" s="3" t="str">
        <f t="shared" si="29"/>
        <v>In Progress</v>
      </c>
      <c r="M78" s="3" t="str">
        <f t="shared" si="30"/>
        <v>Pending</v>
      </c>
      <c r="N78" s="3" t="str">
        <f t="shared" si="16"/>
        <v>In Progress</v>
      </c>
      <c r="P78" s="3">
        <f t="shared" si="17"/>
        <v>1</v>
      </c>
    </row>
    <row r="79" spans="1:16" x14ac:dyDescent="0.35">
      <c r="A79" s="3" t="str">
        <f t="shared" si="18"/>
        <v>PRJ078</v>
      </c>
      <c r="B79" s="8" t="str">
        <f t="shared" si="19"/>
        <v>River View Care Hospital 078</v>
      </c>
      <c r="C79" s="3" t="str">
        <f t="shared" si="20"/>
        <v>South Kerala</v>
      </c>
      <c r="D79" s="3" t="str">
        <f t="shared" si="21"/>
        <v>Kollam</v>
      </c>
      <c r="E79" s="3" t="str">
        <f t="shared" si="22"/>
        <v>Commercial</v>
      </c>
      <c r="F79" s="4">
        <f t="shared" si="23"/>
        <v>21</v>
      </c>
      <c r="G79" s="6">
        <f t="shared" si="24"/>
        <v>46132</v>
      </c>
      <c r="H79" s="6">
        <f t="shared" si="25"/>
        <v>46282</v>
      </c>
      <c r="I79" s="6">
        <f t="shared" si="26"/>
        <v>46289</v>
      </c>
      <c r="J79" s="3">
        <f t="shared" si="27"/>
        <v>7</v>
      </c>
      <c r="K79" s="3" t="str">
        <f t="shared" si="28"/>
        <v>Handover</v>
      </c>
      <c r="L79" s="3" t="str">
        <f t="shared" si="29"/>
        <v>Completed</v>
      </c>
      <c r="M79" s="3" t="str">
        <f t="shared" si="30"/>
        <v>Completed</v>
      </c>
      <c r="N79" s="3" t="str">
        <f t="shared" si="16"/>
        <v>Delayed</v>
      </c>
      <c r="P79" s="3">
        <f t="shared" si="17"/>
        <v>1</v>
      </c>
    </row>
    <row r="80" spans="1:16" x14ac:dyDescent="0.35">
      <c r="A80" s="3" t="str">
        <f t="shared" si="18"/>
        <v>PRJ079</v>
      </c>
      <c r="B80" s="8" t="str">
        <f t="shared" si="19"/>
        <v>Golden Gate Care Hospital 079</v>
      </c>
      <c r="C80" s="3" t="str">
        <f t="shared" si="20"/>
        <v>North Kerala</v>
      </c>
      <c r="D80" s="3" t="str">
        <f t="shared" si="21"/>
        <v>Wayanad</v>
      </c>
      <c r="E80" s="3" t="str">
        <f t="shared" si="22"/>
        <v>Residential</v>
      </c>
      <c r="F80" s="4">
        <f t="shared" si="23"/>
        <v>48</v>
      </c>
      <c r="G80" s="6">
        <f t="shared" si="24"/>
        <v>46139</v>
      </c>
      <c r="H80" s="6">
        <f t="shared" si="25"/>
        <v>46319</v>
      </c>
      <c r="I80" s="6">
        <f t="shared" si="26"/>
        <v>46317</v>
      </c>
      <c r="J80" s="3">
        <f t="shared" si="27"/>
        <v>-2</v>
      </c>
      <c r="K80" s="3" t="str">
        <f t="shared" si="28"/>
        <v>Material Ordered</v>
      </c>
      <c r="L80" s="3" t="str">
        <f t="shared" si="29"/>
        <v>In Progress</v>
      </c>
      <c r="M80" s="3" t="str">
        <f t="shared" si="30"/>
        <v>Pending</v>
      </c>
      <c r="N80" s="3" t="str">
        <f t="shared" si="16"/>
        <v>Early</v>
      </c>
      <c r="P80" s="3">
        <f t="shared" si="17"/>
        <v>1</v>
      </c>
    </row>
    <row r="81" spans="1:16" x14ac:dyDescent="0.35">
      <c r="A81" s="3" t="str">
        <f t="shared" si="18"/>
        <v>PRJ080</v>
      </c>
      <c r="B81" s="8" t="str">
        <f t="shared" si="19"/>
        <v>Emerald Care Hospital 080</v>
      </c>
      <c r="C81" s="3" t="str">
        <f t="shared" si="20"/>
        <v>Central Kerala</v>
      </c>
      <c r="D81" s="3" t="str">
        <f t="shared" si="21"/>
        <v>Thrissur</v>
      </c>
      <c r="E81" s="3" t="str">
        <f t="shared" si="22"/>
        <v>Apartment</v>
      </c>
      <c r="F81" s="4">
        <f t="shared" si="23"/>
        <v>32</v>
      </c>
      <c r="G81" s="6">
        <f t="shared" si="24"/>
        <v>46146</v>
      </c>
      <c r="H81" s="6">
        <f t="shared" si="25"/>
        <v>46356</v>
      </c>
      <c r="I81" s="6">
        <f t="shared" si="26"/>
        <v>46366</v>
      </c>
      <c r="J81" s="3">
        <f t="shared" si="27"/>
        <v>10</v>
      </c>
      <c r="K81" s="3" t="str">
        <f t="shared" si="28"/>
        <v>Material Delivered</v>
      </c>
      <c r="L81" s="3" t="str">
        <f t="shared" si="29"/>
        <v>In Progress</v>
      </c>
      <c r="M81" s="3" t="str">
        <f t="shared" si="30"/>
        <v>Pending</v>
      </c>
      <c r="N81" s="3" t="str">
        <f t="shared" si="16"/>
        <v>Delayed</v>
      </c>
      <c r="P81" s="3">
        <f t="shared" si="17"/>
        <v>1</v>
      </c>
    </row>
    <row r="82" spans="1:16" x14ac:dyDescent="0.35">
      <c r="A82" s="3" t="str">
        <f t="shared" si="18"/>
        <v>PRJ081</v>
      </c>
      <c r="B82" s="8" t="str">
        <f t="shared" si="19"/>
        <v>Green Valley Residency 081</v>
      </c>
      <c r="C82" s="3" t="str">
        <f t="shared" si="20"/>
        <v>South Kerala</v>
      </c>
      <c r="D82" s="3" t="str">
        <f t="shared" si="21"/>
        <v>Trivandrum</v>
      </c>
      <c r="E82" s="3" t="str">
        <f t="shared" si="22"/>
        <v>Hospital</v>
      </c>
      <c r="F82" s="4">
        <f t="shared" si="23"/>
        <v>18</v>
      </c>
      <c r="G82" s="6">
        <f t="shared" si="24"/>
        <v>46153</v>
      </c>
      <c r="H82" s="6">
        <f t="shared" si="25"/>
        <v>46243</v>
      </c>
      <c r="I82" s="6" t="str">
        <f t="shared" si="26"/>
        <v/>
      </c>
      <c r="J82" s="3" t="str">
        <f t="shared" si="27"/>
        <v/>
      </c>
      <c r="K82" s="3" t="str">
        <f t="shared" si="28"/>
        <v>Installation Started</v>
      </c>
      <c r="L82" s="3" t="str">
        <f t="shared" si="29"/>
        <v>In Progress</v>
      </c>
      <c r="M82" s="3" t="str">
        <f t="shared" si="30"/>
        <v>Pending</v>
      </c>
      <c r="N82" s="3" t="str">
        <f t="shared" si="16"/>
        <v>In Progress</v>
      </c>
      <c r="P82" s="3">
        <f t="shared" si="17"/>
        <v>1</v>
      </c>
    </row>
    <row r="83" spans="1:16" x14ac:dyDescent="0.35">
      <c r="A83" s="3" t="str">
        <f t="shared" si="18"/>
        <v>PRJ082</v>
      </c>
      <c r="B83" s="8" t="str">
        <f t="shared" si="19"/>
        <v>Royal Palm Residency 082</v>
      </c>
      <c r="C83" s="3" t="str">
        <f t="shared" si="20"/>
        <v>North Kerala</v>
      </c>
      <c r="D83" s="3" t="str">
        <f t="shared" si="21"/>
        <v>Kozhikode</v>
      </c>
      <c r="E83" s="3" t="str">
        <f t="shared" si="22"/>
        <v>Office</v>
      </c>
      <c r="F83" s="4">
        <f t="shared" si="23"/>
        <v>24</v>
      </c>
      <c r="G83" s="6">
        <f t="shared" si="24"/>
        <v>46160</v>
      </c>
      <c r="H83" s="6">
        <f t="shared" si="25"/>
        <v>46280</v>
      </c>
      <c r="I83" s="6">
        <f t="shared" si="26"/>
        <v>46280</v>
      </c>
      <c r="J83" s="3">
        <f t="shared" si="27"/>
        <v>0</v>
      </c>
      <c r="K83" s="3" t="str">
        <f t="shared" si="28"/>
        <v>Mechanical Completion</v>
      </c>
      <c r="L83" s="3" t="str">
        <f t="shared" si="29"/>
        <v>In Progress</v>
      </c>
      <c r="M83" s="3" t="str">
        <f t="shared" si="30"/>
        <v>Pending</v>
      </c>
      <c r="N83" s="3" t="str">
        <f t="shared" si="16"/>
        <v>On Time</v>
      </c>
      <c r="P83" s="3">
        <f t="shared" si="17"/>
        <v>1</v>
      </c>
    </row>
    <row r="84" spans="1:16" x14ac:dyDescent="0.35">
      <c r="A84" s="3" t="str">
        <f t="shared" si="18"/>
        <v>PRJ083</v>
      </c>
      <c r="B84" s="8" t="str">
        <f t="shared" si="19"/>
        <v>Skyline Residency 083</v>
      </c>
      <c r="C84" s="3" t="str">
        <f t="shared" si="20"/>
        <v>Central Kerala</v>
      </c>
      <c r="D84" s="3" t="str">
        <f t="shared" si="21"/>
        <v>Idukki</v>
      </c>
      <c r="E84" s="3" t="str">
        <f t="shared" si="22"/>
        <v>Hotel</v>
      </c>
      <c r="F84" s="4">
        <f t="shared" si="23"/>
        <v>42</v>
      </c>
      <c r="G84" s="6">
        <f t="shared" si="24"/>
        <v>46167</v>
      </c>
      <c r="H84" s="6">
        <f t="shared" si="25"/>
        <v>46317</v>
      </c>
      <c r="I84" s="6">
        <f t="shared" si="26"/>
        <v>46324</v>
      </c>
      <c r="J84" s="3">
        <f t="shared" si="27"/>
        <v>7</v>
      </c>
      <c r="K84" s="3" t="str">
        <f t="shared" si="28"/>
        <v>Testing &amp; Commissioning</v>
      </c>
      <c r="L84" s="3" t="str">
        <f t="shared" si="29"/>
        <v>In Progress</v>
      </c>
      <c r="M84" s="3" t="str">
        <f t="shared" si="30"/>
        <v>Pending</v>
      </c>
      <c r="N84" s="3" t="str">
        <f t="shared" si="16"/>
        <v>Delayed</v>
      </c>
      <c r="P84" s="3">
        <f t="shared" si="17"/>
        <v>1</v>
      </c>
    </row>
    <row r="85" spans="1:16" x14ac:dyDescent="0.35">
      <c r="A85" s="3" t="str">
        <f t="shared" si="18"/>
        <v>PRJ084</v>
      </c>
      <c r="B85" s="8" t="str">
        <f t="shared" si="19"/>
        <v>Harmony Residency 084</v>
      </c>
      <c r="C85" s="3" t="str">
        <f t="shared" si="20"/>
        <v>South Kerala</v>
      </c>
      <c r="D85" s="3" t="str">
        <f t="shared" si="21"/>
        <v>Alappuzha</v>
      </c>
      <c r="E85" s="3" t="str">
        <f t="shared" si="22"/>
        <v>Commercial</v>
      </c>
      <c r="F85" s="4">
        <f t="shared" si="23"/>
        <v>65</v>
      </c>
      <c r="G85" s="6">
        <f t="shared" si="24"/>
        <v>46174</v>
      </c>
      <c r="H85" s="6">
        <f t="shared" si="25"/>
        <v>46354</v>
      </c>
      <c r="I85" s="6">
        <f t="shared" si="26"/>
        <v>46352</v>
      </c>
      <c r="J85" s="3">
        <f t="shared" si="27"/>
        <v>-2</v>
      </c>
      <c r="K85" s="3" t="str">
        <f t="shared" si="28"/>
        <v>Handover</v>
      </c>
      <c r="L85" s="3" t="str">
        <f t="shared" si="29"/>
        <v>Completed</v>
      </c>
      <c r="M85" s="3" t="str">
        <f t="shared" si="30"/>
        <v>Completed</v>
      </c>
      <c r="N85" s="3" t="str">
        <f t="shared" si="16"/>
        <v>Early</v>
      </c>
      <c r="P85" s="3">
        <f t="shared" si="17"/>
        <v>1</v>
      </c>
    </row>
    <row r="86" spans="1:16" x14ac:dyDescent="0.35">
      <c r="A86" s="3" t="str">
        <f t="shared" si="18"/>
        <v>PRJ085</v>
      </c>
      <c r="B86" s="8" t="str">
        <f t="shared" si="19"/>
        <v>Lakeside Residency 085</v>
      </c>
      <c r="C86" s="3" t="str">
        <f t="shared" si="20"/>
        <v>North Kerala</v>
      </c>
      <c r="D86" s="3" t="str">
        <f t="shared" si="21"/>
        <v>Kannur</v>
      </c>
      <c r="E86" s="3" t="str">
        <f t="shared" si="22"/>
        <v>Residential</v>
      </c>
      <c r="F86" s="4">
        <f t="shared" si="23"/>
        <v>38</v>
      </c>
      <c r="G86" s="6">
        <f t="shared" si="24"/>
        <v>46181</v>
      </c>
      <c r="H86" s="6">
        <f t="shared" si="25"/>
        <v>46391</v>
      </c>
      <c r="I86" s="6" t="str">
        <f t="shared" si="26"/>
        <v/>
      </c>
      <c r="J86" s="3" t="str">
        <f t="shared" si="27"/>
        <v/>
      </c>
      <c r="K86" s="3" t="str">
        <f t="shared" si="28"/>
        <v>Material Ordered</v>
      </c>
      <c r="L86" s="3" t="str">
        <f t="shared" si="29"/>
        <v>In Progress</v>
      </c>
      <c r="M86" s="3" t="str">
        <f t="shared" si="30"/>
        <v>Pending</v>
      </c>
      <c r="N86" s="3" t="str">
        <f t="shared" si="16"/>
        <v>In Progress</v>
      </c>
      <c r="P86" s="3">
        <f t="shared" si="17"/>
        <v>1</v>
      </c>
    </row>
    <row r="87" spans="1:16" x14ac:dyDescent="0.35">
      <c r="A87" s="3" t="str">
        <f t="shared" si="18"/>
        <v>PRJ086</v>
      </c>
      <c r="B87" s="8" t="str">
        <f t="shared" si="19"/>
        <v>Sunrise Residency 086</v>
      </c>
      <c r="C87" s="3" t="str">
        <f t="shared" si="20"/>
        <v>Central Kerala</v>
      </c>
      <c r="D87" s="3" t="str">
        <f t="shared" si="21"/>
        <v>Thrissur</v>
      </c>
      <c r="E87" s="3" t="str">
        <f t="shared" si="22"/>
        <v>Apartment</v>
      </c>
      <c r="F87" s="4">
        <f t="shared" si="23"/>
        <v>55</v>
      </c>
      <c r="G87" s="6">
        <f t="shared" si="24"/>
        <v>46188</v>
      </c>
      <c r="H87" s="6">
        <f t="shared" si="25"/>
        <v>46278</v>
      </c>
      <c r="I87" s="6">
        <f t="shared" si="26"/>
        <v>46273</v>
      </c>
      <c r="J87" s="3">
        <f t="shared" si="27"/>
        <v>-5</v>
      </c>
      <c r="K87" s="3" t="str">
        <f t="shared" si="28"/>
        <v>Material Delivered</v>
      </c>
      <c r="L87" s="3" t="str">
        <f t="shared" si="29"/>
        <v>In Progress</v>
      </c>
      <c r="M87" s="3" t="str">
        <f t="shared" si="30"/>
        <v>Pending</v>
      </c>
      <c r="N87" s="3" t="str">
        <f t="shared" si="16"/>
        <v>Early</v>
      </c>
      <c r="P87" s="3">
        <f t="shared" si="17"/>
        <v>1</v>
      </c>
    </row>
    <row r="88" spans="1:16" x14ac:dyDescent="0.35">
      <c r="A88" s="3" t="str">
        <f t="shared" si="18"/>
        <v>PRJ087</v>
      </c>
      <c r="B88" s="8" t="str">
        <f t="shared" si="19"/>
        <v>Silver Oak Residency 087</v>
      </c>
      <c r="C88" s="3" t="str">
        <f t="shared" si="20"/>
        <v>South Kerala</v>
      </c>
      <c r="D88" s="3" t="str">
        <f t="shared" si="21"/>
        <v>Pathanamthitta</v>
      </c>
      <c r="E88" s="3" t="str">
        <f t="shared" si="22"/>
        <v>Hospital</v>
      </c>
      <c r="F88" s="4">
        <f t="shared" si="23"/>
        <v>27</v>
      </c>
      <c r="G88" s="6">
        <f t="shared" si="24"/>
        <v>46195</v>
      </c>
      <c r="H88" s="6">
        <f t="shared" si="25"/>
        <v>46315</v>
      </c>
      <c r="I88" s="6">
        <f t="shared" si="26"/>
        <v>46315</v>
      </c>
      <c r="J88" s="3">
        <f t="shared" si="27"/>
        <v>0</v>
      </c>
      <c r="K88" s="3" t="str">
        <f t="shared" si="28"/>
        <v>Installation Started</v>
      </c>
      <c r="L88" s="3" t="str">
        <f t="shared" si="29"/>
        <v>In Progress</v>
      </c>
      <c r="M88" s="3" t="str">
        <f t="shared" si="30"/>
        <v>Pending</v>
      </c>
      <c r="N88" s="3" t="str">
        <f t="shared" si="16"/>
        <v>On Time</v>
      </c>
      <c r="P88" s="3">
        <f t="shared" si="17"/>
        <v>1</v>
      </c>
    </row>
    <row r="89" spans="1:16" x14ac:dyDescent="0.35">
      <c r="A89" s="3" t="str">
        <f t="shared" si="18"/>
        <v>PRJ088</v>
      </c>
      <c r="B89" s="8" t="str">
        <f t="shared" si="19"/>
        <v>River View Residency 088</v>
      </c>
      <c r="C89" s="3" t="str">
        <f t="shared" si="20"/>
        <v>North Kerala</v>
      </c>
      <c r="D89" s="3" t="str">
        <f t="shared" si="21"/>
        <v>Kasaragod</v>
      </c>
      <c r="E89" s="3" t="str">
        <f t="shared" si="22"/>
        <v>Office</v>
      </c>
      <c r="F89" s="4">
        <f t="shared" si="23"/>
        <v>21</v>
      </c>
      <c r="G89" s="6">
        <f t="shared" si="24"/>
        <v>46202</v>
      </c>
      <c r="H89" s="6">
        <f t="shared" si="25"/>
        <v>46352</v>
      </c>
      <c r="I89" s="6">
        <f t="shared" si="26"/>
        <v>46359</v>
      </c>
      <c r="J89" s="3">
        <f t="shared" si="27"/>
        <v>7</v>
      </c>
      <c r="K89" s="3" t="str">
        <f t="shared" si="28"/>
        <v>Mechanical Completion</v>
      </c>
      <c r="L89" s="3" t="str">
        <f t="shared" si="29"/>
        <v>In Progress</v>
      </c>
      <c r="M89" s="3" t="str">
        <f t="shared" si="30"/>
        <v>Pending</v>
      </c>
      <c r="N89" s="3" t="str">
        <f t="shared" si="16"/>
        <v>Delayed</v>
      </c>
      <c r="P89" s="3">
        <f t="shared" si="17"/>
        <v>1</v>
      </c>
    </row>
    <row r="90" spans="1:16" x14ac:dyDescent="0.35">
      <c r="A90" s="3" t="str">
        <f t="shared" si="18"/>
        <v>PRJ089</v>
      </c>
      <c r="B90" s="8" t="str">
        <f t="shared" si="19"/>
        <v>Golden Gate Residency 089</v>
      </c>
      <c r="C90" s="3" t="str">
        <f t="shared" si="20"/>
        <v>Central Kerala</v>
      </c>
      <c r="D90" s="3" t="str">
        <f t="shared" si="21"/>
        <v>Idukki</v>
      </c>
      <c r="E90" s="3" t="str">
        <f t="shared" si="22"/>
        <v>Hotel</v>
      </c>
      <c r="F90" s="4">
        <f t="shared" si="23"/>
        <v>48</v>
      </c>
      <c r="G90" s="6">
        <f t="shared" si="24"/>
        <v>46029</v>
      </c>
      <c r="H90" s="6">
        <f t="shared" si="25"/>
        <v>46209</v>
      </c>
      <c r="I90" s="6" t="str">
        <f t="shared" si="26"/>
        <v/>
      </c>
      <c r="J90" s="3" t="str">
        <f t="shared" si="27"/>
        <v/>
      </c>
      <c r="K90" s="3" t="str">
        <f t="shared" si="28"/>
        <v>Testing &amp; Commissioning</v>
      </c>
      <c r="L90" s="3" t="str">
        <f t="shared" si="29"/>
        <v>In Progress</v>
      </c>
      <c r="M90" s="3" t="str">
        <f t="shared" si="30"/>
        <v>Pending</v>
      </c>
      <c r="N90" s="3" t="str">
        <f t="shared" si="16"/>
        <v>In Progress</v>
      </c>
      <c r="P90" s="3">
        <f t="shared" si="17"/>
        <v>1</v>
      </c>
    </row>
    <row r="91" spans="1:16" x14ac:dyDescent="0.35">
      <c r="A91" s="3" t="str">
        <f t="shared" si="18"/>
        <v>PRJ090</v>
      </c>
      <c r="B91" s="8" t="str">
        <f t="shared" si="19"/>
        <v>Emerald Residency 090</v>
      </c>
      <c r="C91" s="3" t="str">
        <f t="shared" si="20"/>
        <v>South Kerala</v>
      </c>
      <c r="D91" s="3" t="str">
        <f t="shared" si="21"/>
        <v>Kollam</v>
      </c>
      <c r="E91" s="3" t="str">
        <f t="shared" si="22"/>
        <v>Commercial</v>
      </c>
      <c r="F91" s="4">
        <f t="shared" si="23"/>
        <v>32</v>
      </c>
      <c r="G91" s="6">
        <f t="shared" si="24"/>
        <v>46036</v>
      </c>
      <c r="H91" s="6">
        <f t="shared" si="25"/>
        <v>46246</v>
      </c>
      <c r="I91" s="6">
        <f t="shared" si="26"/>
        <v>46256</v>
      </c>
      <c r="J91" s="3">
        <f t="shared" si="27"/>
        <v>10</v>
      </c>
      <c r="K91" s="3" t="str">
        <f t="shared" si="28"/>
        <v>Handover</v>
      </c>
      <c r="L91" s="3" t="str">
        <f t="shared" si="29"/>
        <v>Completed</v>
      </c>
      <c r="M91" s="3" t="str">
        <f t="shared" si="30"/>
        <v>Completed</v>
      </c>
      <c r="N91" s="3" t="str">
        <f t="shared" si="16"/>
        <v>Delayed</v>
      </c>
      <c r="P91" s="3">
        <f t="shared" si="17"/>
        <v>1</v>
      </c>
    </row>
    <row r="92" spans="1:16" x14ac:dyDescent="0.35">
      <c r="A92" s="3" t="str">
        <f t="shared" si="18"/>
        <v>PRJ091</v>
      </c>
      <c r="B92" s="8" t="str">
        <f t="shared" si="19"/>
        <v>Green Valley Apartments 091</v>
      </c>
      <c r="C92" s="3" t="str">
        <f t="shared" si="20"/>
        <v>North Kerala</v>
      </c>
      <c r="D92" s="3" t="str">
        <f t="shared" si="21"/>
        <v>Wayanad</v>
      </c>
      <c r="E92" s="3" t="str">
        <f t="shared" si="22"/>
        <v>Residential</v>
      </c>
      <c r="F92" s="4">
        <f t="shared" si="23"/>
        <v>18</v>
      </c>
      <c r="G92" s="6">
        <f t="shared" si="24"/>
        <v>46043</v>
      </c>
      <c r="H92" s="6">
        <f t="shared" si="25"/>
        <v>46133</v>
      </c>
      <c r="I92" s="6">
        <f t="shared" si="26"/>
        <v>46128</v>
      </c>
      <c r="J92" s="3">
        <f t="shared" si="27"/>
        <v>-5</v>
      </c>
      <c r="K92" s="3" t="str">
        <f t="shared" si="28"/>
        <v>Material Ordered</v>
      </c>
      <c r="L92" s="3" t="str">
        <f t="shared" si="29"/>
        <v>In Progress</v>
      </c>
      <c r="M92" s="3" t="str">
        <f t="shared" si="30"/>
        <v>Pending</v>
      </c>
      <c r="N92" s="3" t="str">
        <f t="shared" si="16"/>
        <v>Early</v>
      </c>
      <c r="P92" s="3">
        <f t="shared" si="17"/>
        <v>1</v>
      </c>
    </row>
    <row r="93" spans="1:16" x14ac:dyDescent="0.35">
      <c r="A93" s="3" t="str">
        <f t="shared" si="18"/>
        <v>PRJ092</v>
      </c>
      <c r="B93" s="8" t="str">
        <f t="shared" si="19"/>
        <v>Royal Palm Apartments 092</v>
      </c>
      <c r="C93" s="3" t="str">
        <f t="shared" si="20"/>
        <v>Central Kerala</v>
      </c>
      <c r="D93" s="3" t="str">
        <f t="shared" si="21"/>
        <v>Thrissur</v>
      </c>
      <c r="E93" s="3" t="str">
        <f t="shared" si="22"/>
        <v>Apartment</v>
      </c>
      <c r="F93" s="4">
        <f t="shared" si="23"/>
        <v>24</v>
      </c>
      <c r="G93" s="6">
        <f t="shared" si="24"/>
        <v>46050</v>
      </c>
      <c r="H93" s="6">
        <f t="shared" si="25"/>
        <v>46170</v>
      </c>
      <c r="I93" s="6">
        <f t="shared" si="26"/>
        <v>46170</v>
      </c>
      <c r="J93" s="3">
        <f t="shared" si="27"/>
        <v>0</v>
      </c>
      <c r="K93" s="3" t="str">
        <f t="shared" si="28"/>
        <v>Material Delivered</v>
      </c>
      <c r="L93" s="3" t="str">
        <f t="shared" si="29"/>
        <v>In Progress</v>
      </c>
      <c r="M93" s="3" t="str">
        <f t="shared" si="30"/>
        <v>Pending</v>
      </c>
      <c r="N93" s="3" t="str">
        <f t="shared" si="16"/>
        <v>On Time</v>
      </c>
      <c r="P93" s="3">
        <f t="shared" si="17"/>
        <v>1</v>
      </c>
    </row>
    <row r="94" spans="1:16" x14ac:dyDescent="0.35">
      <c r="A94" s="3" t="str">
        <f t="shared" si="18"/>
        <v>PRJ093</v>
      </c>
      <c r="B94" s="8" t="str">
        <f t="shared" si="19"/>
        <v>Skyline Apartments 093</v>
      </c>
      <c r="C94" s="3" t="str">
        <f t="shared" si="20"/>
        <v>South Kerala</v>
      </c>
      <c r="D94" s="3" t="str">
        <f t="shared" si="21"/>
        <v>Trivandrum</v>
      </c>
      <c r="E94" s="3" t="str">
        <f t="shared" si="22"/>
        <v>Hospital</v>
      </c>
      <c r="F94" s="4">
        <f t="shared" si="23"/>
        <v>42</v>
      </c>
      <c r="G94" s="6">
        <f t="shared" si="24"/>
        <v>46057</v>
      </c>
      <c r="H94" s="6">
        <f t="shared" si="25"/>
        <v>46207</v>
      </c>
      <c r="I94" s="6" t="str">
        <f t="shared" si="26"/>
        <v/>
      </c>
      <c r="J94" s="3" t="str">
        <f t="shared" si="27"/>
        <v/>
      </c>
      <c r="K94" s="3" t="str">
        <f t="shared" si="28"/>
        <v>Installation Started</v>
      </c>
      <c r="L94" s="3" t="str">
        <f t="shared" si="29"/>
        <v>In Progress</v>
      </c>
      <c r="M94" s="3" t="str">
        <f t="shared" si="30"/>
        <v>Pending</v>
      </c>
      <c r="N94" s="3" t="str">
        <f t="shared" si="16"/>
        <v>In Progress</v>
      </c>
      <c r="P94" s="3">
        <f t="shared" si="17"/>
        <v>1</v>
      </c>
    </row>
    <row r="95" spans="1:16" x14ac:dyDescent="0.35">
      <c r="A95" s="3" t="str">
        <f t="shared" si="18"/>
        <v>PRJ094</v>
      </c>
      <c r="B95" s="8" t="str">
        <f t="shared" si="19"/>
        <v>Harmony Apartments 094</v>
      </c>
      <c r="C95" s="3" t="str">
        <f t="shared" si="20"/>
        <v>North Kerala</v>
      </c>
      <c r="D95" s="3" t="str">
        <f t="shared" si="21"/>
        <v>Kozhikode</v>
      </c>
      <c r="E95" s="3" t="str">
        <f t="shared" si="22"/>
        <v>Office</v>
      </c>
      <c r="F95" s="4">
        <f t="shared" si="23"/>
        <v>65</v>
      </c>
      <c r="G95" s="6">
        <f t="shared" si="24"/>
        <v>46064</v>
      </c>
      <c r="H95" s="6">
        <f t="shared" si="25"/>
        <v>46244</v>
      </c>
      <c r="I95" s="6">
        <f t="shared" si="26"/>
        <v>46242</v>
      </c>
      <c r="J95" s="3">
        <f t="shared" si="27"/>
        <v>-2</v>
      </c>
      <c r="K95" s="3" t="str">
        <f t="shared" si="28"/>
        <v>Mechanical Completion</v>
      </c>
      <c r="L95" s="3" t="str">
        <f t="shared" si="29"/>
        <v>In Progress</v>
      </c>
      <c r="M95" s="3" t="str">
        <f t="shared" si="30"/>
        <v>Pending</v>
      </c>
      <c r="N95" s="3" t="str">
        <f t="shared" si="16"/>
        <v>Early</v>
      </c>
      <c r="P95" s="3">
        <f t="shared" si="17"/>
        <v>1</v>
      </c>
    </row>
    <row r="96" spans="1:16" x14ac:dyDescent="0.35">
      <c r="A96" s="3" t="str">
        <f t="shared" si="18"/>
        <v>PRJ095</v>
      </c>
      <c r="B96" s="8" t="str">
        <f t="shared" si="19"/>
        <v>Lakeside Apartments 095</v>
      </c>
      <c r="C96" s="3" t="str">
        <f t="shared" si="20"/>
        <v>Central Kerala</v>
      </c>
      <c r="D96" s="3" t="str">
        <f t="shared" si="21"/>
        <v>Idukki</v>
      </c>
      <c r="E96" s="3" t="str">
        <f t="shared" si="22"/>
        <v>Hotel</v>
      </c>
      <c r="F96" s="4">
        <f t="shared" si="23"/>
        <v>38</v>
      </c>
      <c r="G96" s="6">
        <f t="shared" si="24"/>
        <v>46071</v>
      </c>
      <c r="H96" s="6">
        <f t="shared" si="25"/>
        <v>46281</v>
      </c>
      <c r="I96" s="6">
        <f t="shared" si="26"/>
        <v>46291</v>
      </c>
      <c r="J96" s="3">
        <f t="shared" si="27"/>
        <v>10</v>
      </c>
      <c r="K96" s="3" t="str">
        <f t="shared" si="28"/>
        <v>Testing &amp; Commissioning</v>
      </c>
      <c r="L96" s="3" t="str">
        <f t="shared" si="29"/>
        <v>In Progress</v>
      </c>
      <c r="M96" s="3" t="str">
        <f t="shared" si="30"/>
        <v>Pending</v>
      </c>
      <c r="N96" s="3" t="str">
        <f t="shared" si="16"/>
        <v>Delayed</v>
      </c>
      <c r="P96" s="3">
        <f t="shared" si="17"/>
        <v>1</v>
      </c>
    </row>
    <row r="97" spans="1:16" x14ac:dyDescent="0.35">
      <c r="A97" s="3" t="str">
        <f t="shared" si="18"/>
        <v>PRJ096</v>
      </c>
      <c r="B97" s="8" t="str">
        <f t="shared" si="19"/>
        <v>Sunrise Apartments 096</v>
      </c>
      <c r="C97" s="3" t="str">
        <f t="shared" si="20"/>
        <v>South Kerala</v>
      </c>
      <c r="D97" s="3" t="str">
        <f t="shared" si="21"/>
        <v>Alappuzha</v>
      </c>
      <c r="E97" s="3" t="str">
        <f t="shared" si="22"/>
        <v>Commercial</v>
      </c>
      <c r="F97" s="4">
        <f t="shared" si="23"/>
        <v>55</v>
      </c>
      <c r="G97" s="6">
        <f t="shared" si="24"/>
        <v>46078</v>
      </c>
      <c r="H97" s="6">
        <f t="shared" si="25"/>
        <v>46168</v>
      </c>
      <c r="I97" s="6">
        <f t="shared" si="26"/>
        <v>46163</v>
      </c>
      <c r="J97" s="3">
        <f t="shared" si="27"/>
        <v>-5</v>
      </c>
      <c r="K97" s="3" t="str">
        <f t="shared" si="28"/>
        <v>Handover</v>
      </c>
      <c r="L97" s="3" t="str">
        <f t="shared" si="29"/>
        <v>Completed</v>
      </c>
      <c r="M97" s="3" t="str">
        <f t="shared" si="30"/>
        <v>Completed</v>
      </c>
      <c r="N97" s="3" t="str">
        <f t="shared" si="16"/>
        <v>Early</v>
      </c>
      <c r="P97" s="3">
        <f t="shared" si="17"/>
        <v>1</v>
      </c>
    </row>
    <row r="98" spans="1:16" x14ac:dyDescent="0.35">
      <c r="A98" s="3" t="str">
        <f t="shared" si="18"/>
        <v>PRJ097</v>
      </c>
      <c r="B98" s="8" t="str">
        <f t="shared" si="19"/>
        <v>Silver Oak Apartments 097</v>
      </c>
      <c r="C98" s="3" t="str">
        <f t="shared" si="20"/>
        <v>North Kerala</v>
      </c>
      <c r="D98" s="3" t="str">
        <f t="shared" si="21"/>
        <v>Kannur</v>
      </c>
      <c r="E98" s="3" t="str">
        <f t="shared" si="22"/>
        <v>Residential</v>
      </c>
      <c r="F98" s="4">
        <f t="shared" si="23"/>
        <v>27</v>
      </c>
      <c r="G98" s="6">
        <f t="shared" si="24"/>
        <v>46085</v>
      </c>
      <c r="H98" s="6">
        <f t="shared" si="25"/>
        <v>46205</v>
      </c>
      <c r="I98" s="6" t="str">
        <f t="shared" si="26"/>
        <v/>
      </c>
      <c r="J98" s="3" t="str">
        <f t="shared" si="27"/>
        <v/>
      </c>
      <c r="K98" s="3" t="str">
        <f t="shared" si="28"/>
        <v>Material Ordered</v>
      </c>
      <c r="L98" s="3" t="str">
        <f t="shared" si="29"/>
        <v>In Progress</v>
      </c>
      <c r="M98" s="3" t="str">
        <f t="shared" si="30"/>
        <v>Pending</v>
      </c>
      <c r="N98" s="3" t="str">
        <f t="shared" si="16"/>
        <v>In Progress</v>
      </c>
      <c r="P98" s="3">
        <f t="shared" si="17"/>
        <v>1</v>
      </c>
    </row>
    <row r="99" spans="1:16" x14ac:dyDescent="0.35">
      <c r="A99" s="3" t="str">
        <f t="shared" si="18"/>
        <v>PRJ098</v>
      </c>
      <c r="B99" s="8" t="str">
        <f t="shared" si="19"/>
        <v>River View Apartments 098</v>
      </c>
      <c r="C99" s="3" t="str">
        <f t="shared" si="20"/>
        <v>Central Kerala</v>
      </c>
      <c r="D99" s="3" t="str">
        <f t="shared" si="21"/>
        <v>Thrissur</v>
      </c>
      <c r="E99" s="3" t="str">
        <f t="shared" si="22"/>
        <v>Apartment</v>
      </c>
      <c r="F99" s="4">
        <f t="shared" si="23"/>
        <v>21</v>
      </c>
      <c r="G99" s="6">
        <f t="shared" si="24"/>
        <v>46092</v>
      </c>
      <c r="H99" s="6">
        <f t="shared" si="25"/>
        <v>46242</v>
      </c>
      <c r="I99" s="6">
        <f t="shared" si="26"/>
        <v>46249</v>
      </c>
      <c r="J99" s="3">
        <f t="shared" si="27"/>
        <v>7</v>
      </c>
      <c r="K99" s="3" t="str">
        <f t="shared" si="28"/>
        <v>Material Delivered</v>
      </c>
      <c r="L99" s="3" t="str">
        <f t="shared" si="29"/>
        <v>In Progress</v>
      </c>
      <c r="M99" s="3" t="str">
        <f t="shared" si="30"/>
        <v>Pending</v>
      </c>
      <c r="N99" s="3" t="str">
        <f t="shared" si="16"/>
        <v>Delayed</v>
      </c>
      <c r="P99" s="3">
        <f t="shared" si="17"/>
        <v>1</v>
      </c>
    </row>
    <row r="100" spans="1:16" x14ac:dyDescent="0.35">
      <c r="A100" s="3" t="str">
        <f t="shared" si="18"/>
        <v>PRJ099</v>
      </c>
      <c r="B100" s="8" t="str">
        <f t="shared" si="19"/>
        <v>Golden Gate Apartments 099</v>
      </c>
      <c r="C100" s="3" t="str">
        <f t="shared" si="20"/>
        <v>South Kerala</v>
      </c>
      <c r="D100" s="3" t="str">
        <f t="shared" si="21"/>
        <v>Pathanamthitta</v>
      </c>
      <c r="E100" s="3" t="str">
        <f t="shared" si="22"/>
        <v>Hospital</v>
      </c>
      <c r="F100" s="4">
        <f t="shared" si="23"/>
        <v>48</v>
      </c>
      <c r="G100" s="6">
        <f t="shared" si="24"/>
        <v>46099</v>
      </c>
      <c r="H100" s="6">
        <f t="shared" si="25"/>
        <v>46279</v>
      </c>
      <c r="I100" s="6">
        <f t="shared" si="26"/>
        <v>46277</v>
      </c>
      <c r="J100" s="3">
        <f t="shared" si="27"/>
        <v>-2</v>
      </c>
      <c r="K100" s="3" t="str">
        <f t="shared" si="28"/>
        <v>Installation Started</v>
      </c>
      <c r="L100" s="3" t="str">
        <f t="shared" si="29"/>
        <v>In Progress</v>
      </c>
      <c r="M100" s="3" t="str">
        <f t="shared" si="30"/>
        <v>Pending</v>
      </c>
      <c r="N100" s="3" t="str">
        <f t="shared" si="16"/>
        <v>Early</v>
      </c>
      <c r="P100" s="3">
        <f t="shared" si="17"/>
        <v>1</v>
      </c>
    </row>
    <row r="101" spans="1:16" x14ac:dyDescent="0.35">
      <c r="A101" s="3" t="str">
        <f t="shared" si="18"/>
        <v>PRJ100</v>
      </c>
      <c r="B101" s="8" t="str">
        <f t="shared" si="19"/>
        <v>Emerald Apartments 100</v>
      </c>
      <c r="C101" s="3" t="str">
        <f t="shared" si="20"/>
        <v>North Kerala</v>
      </c>
      <c r="D101" s="3" t="str">
        <f t="shared" si="21"/>
        <v>Kasaragod</v>
      </c>
      <c r="E101" s="3" t="str">
        <f t="shared" si="22"/>
        <v>Office</v>
      </c>
      <c r="F101" s="4">
        <f t="shared" si="23"/>
        <v>32</v>
      </c>
      <c r="G101" s="6">
        <f t="shared" si="24"/>
        <v>46106</v>
      </c>
      <c r="H101" s="6">
        <f t="shared" si="25"/>
        <v>46316</v>
      </c>
      <c r="I101" s="6">
        <f t="shared" si="26"/>
        <v>46326</v>
      </c>
      <c r="J101" s="3">
        <f t="shared" si="27"/>
        <v>10</v>
      </c>
      <c r="K101" s="3" t="str">
        <f t="shared" si="28"/>
        <v>Mechanical Completion</v>
      </c>
      <c r="L101" s="3" t="str">
        <f t="shared" si="29"/>
        <v>In Progress</v>
      </c>
      <c r="M101" s="3" t="str">
        <f t="shared" si="30"/>
        <v>Pending</v>
      </c>
      <c r="N101" s="3" t="str">
        <f t="shared" si="16"/>
        <v>Delayed</v>
      </c>
      <c r="P101" s="3">
        <f t="shared" si="17"/>
        <v>1</v>
      </c>
    </row>
    <row r="102" spans="1:16" x14ac:dyDescent="0.35">
      <c r="A102" s="3" t="str">
        <f t="shared" si="18"/>
        <v>PRJ101</v>
      </c>
      <c r="B102" s="8" t="str">
        <f t="shared" si="19"/>
        <v>Green Valley Heights 101</v>
      </c>
      <c r="C102" s="3" t="str">
        <f t="shared" si="20"/>
        <v>Central Kerala</v>
      </c>
      <c r="D102" s="3" t="str">
        <f t="shared" si="21"/>
        <v>Idukki</v>
      </c>
      <c r="E102" s="3" t="str">
        <f t="shared" si="22"/>
        <v>Hotel</v>
      </c>
      <c r="F102" s="4">
        <f t="shared" si="23"/>
        <v>18</v>
      </c>
      <c r="G102" s="6">
        <f t="shared" si="24"/>
        <v>46113</v>
      </c>
      <c r="H102" s="6">
        <f t="shared" si="25"/>
        <v>46203</v>
      </c>
      <c r="I102" s="6" t="str">
        <f t="shared" si="26"/>
        <v/>
      </c>
      <c r="J102" s="3" t="str">
        <f t="shared" si="27"/>
        <v/>
      </c>
      <c r="K102" s="3" t="str">
        <f t="shared" si="28"/>
        <v>Testing &amp; Commissioning</v>
      </c>
      <c r="L102" s="3" t="str">
        <f t="shared" si="29"/>
        <v>In Progress</v>
      </c>
      <c r="M102" s="3" t="str">
        <f t="shared" si="30"/>
        <v>Pending</v>
      </c>
      <c r="N102" s="3" t="str">
        <f t="shared" si="16"/>
        <v>In Progress</v>
      </c>
      <c r="P102" s="3">
        <f t="shared" si="17"/>
        <v>1</v>
      </c>
    </row>
    <row r="103" spans="1:16" x14ac:dyDescent="0.35">
      <c r="A103" s="3" t="str">
        <f t="shared" si="18"/>
        <v>PRJ102</v>
      </c>
      <c r="B103" s="8" t="str">
        <f t="shared" si="19"/>
        <v>Royal Palm Heights 102</v>
      </c>
      <c r="C103" s="3" t="str">
        <f t="shared" si="20"/>
        <v>South Kerala</v>
      </c>
      <c r="D103" s="3" t="str">
        <f t="shared" si="21"/>
        <v>Kollam</v>
      </c>
      <c r="E103" s="3" t="str">
        <f t="shared" si="22"/>
        <v>Commercial</v>
      </c>
      <c r="F103" s="4">
        <f t="shared" si="23"/>
        <v>24</v>
      </c>
      <c r="G103" s="6">
        <f t="shared" si="24"/>
        <v>46120</v>
      </c>
      <c r="H103" s="6">
        <f t="shared" si="25"/>
        <v>46240</v>
      </c>
      <c r="I103" s="6">
        <f t="shared" si="26"/>
        <v>46240</v>
      </c>
      <c r="J103" s="3">
        <f t="shared" si="27"/>
        <v>0</v>
      </c>
      <c r="K103" s="3" t="str">
        <f t="shared" si="28"/>
        <v>Handover</v>
      </c>
      <c r="L103" s="3" t="str">
        <f t="shared" si="29"/>
        <v>Completed</v>
      </c>
      <c r="M103" s="3" t="str">
        <f t="shared" si="30"/>
        <v>Completed</v>
      </c>
      <c r="N103" s="3" t="str">
        <f t="shared" si="16"/>
        <v>On Time</v>
      </c>
      <c r="P103" s="3">
        <f t="shared" si="17"/>
        <v>1</v>
      </c>
    </row>
    <row r="104" spans="1:16" x14ac:dyDescent="0.35">
      <c r="A104" s="3" t="str">
        <f t="shared" si="18"/>
        <v>PRJ103</v>
      </c>
      <c r="B104" s="8" t="str">
        <f t="shared" si="19"/>
        <v>Skyline Heights 103</v>
      </c>
      <c r="C104" s="3" t="str">
        <f t="shared" si="20"/>
        <v>North Kerala</v>
      </c>
      <c r="D104" s="3" t="str">
        <f t="shared" si="21"/>
        <v>Wayanad</v>
      </c>
      <c r="E104" s="3" t="str">
        <f t="shared" si="22"/>
        <v>Residential</v>
      </c>
      <c r="F104" s="4">
        <f t="shared" si="23"/>
        <v>42</v>
      </c>
      <c r="G104" s="6">
        <f t="shared" si="24"/>
        <v>46127</v>
      </c>
      <c r="H104" s="6">
        <f t="shared" si="25"/>
        <v>46277</v>
      </c>
      <c r="I104" s="6">
        <f t="shared" si="26"/>
        <v>46284</v>
      </c>
      <c r="J104" s="3">
        <f t="shared" si="27"/>
        <v>7</v>
      </c>
      <c r="K104" s="3" t="str">
        <f t="shared" si="28"/>
        <v>Material Ordered</v>
      </c>
      <c r="L104" s="3" t="str">
        <f t="shared" si="29"/>
        <v>In Progress</v>
      </c>
      <c r="M104" s="3" t="str">
        <f t="shared" si="30"/>
        <v>Pending</v>
      </c>
      <c r="N104" s="3" t="str">
        <f t="shared" si="16"/>
        <v>Delayed</v>
      </c>
      <c r="P104" s="3">
        <f t="shared" si="17"/>
        <v>1</v>
      </c>
    </row>
    <row r="105" spans="1:16" x14ac:dyDescent="0.35">
      <c r="A105" s="3" t="str">
        <f t="shared" si="18"/>
        <v>PRJ104</v>
      </c>
      <c r="B105" s="8" t="str">
        <f t="shared" si="19"/>
        <v>Harmony Heights 104</v>
      </c>
      <c r="C105" s="3" t="str">
        <f t="shared" si="20"/>
        <v>Central Kerala</v>
      </c>
      <c r="D105" s="3" t="str">
        <f t="shared" si="21"/>
        <v>Thrissur</v>
      </c>
      <c r="E105" s="3" t="str">
        <f t="shared" si="22"/>
        <v>Apartment</v>
      </c>
      <c r="F105" s="4">
        <f t="shared" si="23"/>
        <v>65</v>
      </c>
      <c r="G105" s="6">
        <f t="shared" si="24"/>
        <v>46134</v>
      </c>
      <c r="H105" s="6">
        <f t="shared" si="25"/>
        <v>46314</v>
      </c>
      <c r="I105" s="6">
        <f t="shared" si="26"/>
        <v>46312</v>
      </c>
      <c r="J105" s="3">
        <f t="shared" si="27"/>
        <v>-2</v>
      </c>
      <c r="K105" s="3" t="str">
        <f t="shared" si="28"/>
        <v>Material Delivered</v>
      </c>
      <c r="L105" s="3" t="str">
        <f t="shared" si="29"/>
        <v>In Progress</v>
      </c>
      <c r="M105" s="3" t="str">
        <f t="shared" si="30"/>
        <v>Pending</v>
      </c>
      <c r="N105" s="3" t="str">
        <f t="shared" si="16"/>
        <v>Early</v>
      </c>
      <c r="P105" s="3">
        <f t="shared" si="17"/>
        <v>1</v>
      </c>
    </row>
    <row r="106" spans="1:16" x14ac:dyDescent="0.35">
      <c r="A106" s="3" t="str">
        <f t="shared" si="18"/>
        <v>PRJ105</v>
      </c>
      <c r="B106" s="8" t="str">
        <f t="shared" si="19"/>
        <v>Lakeside Heights 105</v>
      </c>
      <c r="C106" s="3" t="str">
        <f t="shared" si="20"/>
        <v>South Kerala</v>
      </c>
      <c r="D106" s="3" t="str">
        <f t="shared" si="21"/>
        <v>Trivandrum</v>
      </c>
      <c r="E106" s="3" t="str">
        <f t="shared" si="22"/>
        <v>Hospital</v>
      </c>
      <c r="F106" s="4">
        <f t="shared" si="23"/>
        <v>38</v>
      </c>
      <c r="G106" s="6">
        <f t="shared" si="24"/>
        <v>46141</v>
      </c>
      <c r="H106" s="6">
        <f t="shared" si="25"/>
        <v>46351</v>
      </c>
      <c r="I106" s="6" t="str">
        <f t="shared" si="26"/>
        <v/>
      </c>
      <c r="J106" s="3" t="str">
        <f t="shared" si="27"/>
        <v/>
      </c>
      <c r="K106" s="3" t="str">
        <f t="shared" si="28"/>
        <v>Installation Started</v>
      </c>
      <c r="L106" s="3" t="str">
        <f t="shared" si="29"/>
        <v>In Progress</v>
      </c>
      <c r="M106" s="3" t="str">
        <f t="shared" si="30"/>
        <v>Pending</v>
      </c>
      <c r="N106" s="3" t="str">
        <f t="shared" si="16"/>
        <v>In Progress</v>
      </c>
      <c r="P106" s="3">
        <f t="shared" si="17"/>
        <v>1</v>
      </c>
    </row>
    <row r="107" spans="1:16" x14ac:dyDescent="0.35">
      <c r="A107" s="3" t="str">
        <f t="shared" si="18"/>
        <v>PRJ106</v>
      </c>
      <c r="B107" s="8" t="str">
        <f t="shared" si="19"/>
        <v>Sunrise Heights 106</v>
      </c>
      <c r="C107" s="3" t="str">
        <f t="shared" si="20"/>
        <v>North Kerala</v>
      </c>
      <c r="D107" s="3" t="str">
        <f t="shared" si="21"/>
        <v>Kozhikode</v>
      </c>
      <c r="E107" s="3" t="str">
        <f t="shared" si="22"/>
        <v>Office</v>
      </c>
      <c r="F107" s="4">
        <f t="shared" si="23"/>
        <v>55</v>
      </c>
      <c r="G107" s="6">
        <f t="shared" si="24"/>
        <v>46148</v>
      </c>
      <c r="H107" s="6">
        <f t="shared" si="25"/>
        <v>46238</v>
      </c>
      <c r="I107" s="6">
        <f t="shared" si="26"/>
        <v>46233</v>
      </c>
      <c r="J107" s="3">
        <f t="shared" si="27"/>
        <v>-5</v>
      </c>
      <c r="K107" s="3" t="str">
        <f t="shared" si="28"/>
        <v>Mechanical Completion</v>
      </c>
      <c r="L107" s="3" t="str">
        <f t="shared" si="29"/>
        <v>In Progress</v>
      </c>
      <c r="M107" s="3" t="str">
        <f t="shared" si="30"/>
        <v>Pending</v>
      </c>
      <c r="N107" s="3" t="str">
        <f t="shared" si="16"/>
        <v>Early</v>
      </c>
      <c r="P107" s="3">
        <f t="shared" si="17"/>
        <v>1</v>
      </c>
    </row>
    <row r="108" spans="1:16" x14ac:dyDescent="0.35">
      <c r="A108" s="3" t="str">
        <f t="shared" si="18"/>
        <v>PRJ107</v>
      </c>
      <c r="B108" s="8" t="str">
        <f t="shared" si="19"/>
        <v>Silver Oak Heights 107</v>
      </c>
      <c r="C108" s="3" t="str">
        <f t="shared" si="20"/>
        <v>Central Kerala</v>
      </c>
      <c r="D108" s="3" t="str">
        <f t="shared" si="21"/>
        <v>Idukki</v>
      </c>
      <c r="E108" s="3" t="str">
        <f t="shared" si="22"/>
        <v>Hotel</v>
      </c>
      <c r="F108" s="4">
        <f t="shared" si="23"/>
        <v>27</v>
      </c>
      <c r="G108" s="6">
        <f t="shared" si="24"/>
        <v>46155</v>
      </c>
      <c r="H108" s="6">
        <f t="shared" si="25"/>
        <v>46275</v>
      </c>
      <c r="I108" s="6">
        <f t="shared" si="26"/>
        <v>46275</v>
      </c>
      <c r="J108" s="3">
        <f t="shared" si="27"/>
        <v>0</v>
      </c>
      <c r="K108" s="3" t="str">
        <f t="shared" si="28"/>
        <v>Testing &amp; Commissioning</v>
      </c>
      <c r="L108" s="3" t="str">
        <f t="shared" si="29"/>
        <v>In Progress</v>
      </c>
      <c r="M108" s="3" t="str">
        <f t="shared" si="30"/>
        <v>Pending</v>
      </c>
      <c r="N108" s="3" t="str">
        <f t="shared" si="16"/>
        <v>On Time</v>
      </c>
      <c r="P108" s="3">
        <f t="shared" si="17"/>
        <v>1</v>
      </c>
    </row>
    <row r="109" spans="1:16" x14ac:dyDescent="0.35">
      <c r="A109" s="3" t="str">
        <f t="shared" si="18"/>
        <v>PRJ108</v>
      </c>
      <c r="B109" s="8" t="str">
        <f t="shared" si="19"/>
        <v>River View Heights 108</v>
      </c>
      <c r="C109" s="3" t="str">
        <f t="shared" si="20"/>
        <v>South Kerala</v>
      </c>
      <c r="D109" s="3" t="str">
        <f t="shared" si="21"/>
        <v>Alappuzha</v>
      </c>
      <c r="E109" s="3" t="str">
        <f t="shared" si="22"/>
        <v>Commercial</v>
      </c>
      <c r="F109" s="4">
        <f t="shared" si="23"/>
        <v>21</v>
      </c>
      <c r="G109" s="6">
        <f t="shared" si="24"/>
        <v>46162</v>
      </c>
      <c r="H109" s="6">
        <f t="shared" si="25"/>
        <v>46312</v>
      </c>
      <c r="I109" s="6">
        <f t="shared" si="26"/>
        <v>46319</v>
      </c>
      <c r="J109" s="3">
        <f t="shared" si="27"/>
        <v>7</v>
      </c>
      <c r="K109" s="3" t="str">
        <f t="shared" si="28"/>
        <v>Handover</v>
      </c>
      <c r="L109" s="3" t="str">
        <f t="shared" si="29"/>
        <v>Completed</v>
      </c>
      <c r="M109" s="3" t="str">
        <f t="shared" si="30"/>
        <v>Completed</v>
      </c>
      <c r="N109" s="3" t="str">
        <f t="shared" si="16"/>
        <v>Delayed</v>
      </c>
      <c r="P109" s="3">
        <f t="shared" si="17"/>
        <v>1</v>
      </c>
    </row>
    <row r="110" spans="1:16" x14ac:dyDescent="0.35">
      <c r="A110" s="3" t="str">
        <f t="shared" si="18"/>
        <v>PRJ109</v>
      </c>
      <c r="B110" s="8" t="str">
        <f t="shared" si="19"/>
        <v>Golden Gate Heights 109</v>
      </c>
      <c r="C110" s="3" t="str">
        <f t="shared" si="20"/>
        <v>North Kerala</v>
      </c>
      <c r="D110" s="3" t="str">
        <f t="shared" si="21"/>
        <v>Kannur</v>
      </c>
      <c r="E110" s="3" t="str">
        <f t="shared" si="22"/>
        <v>Residential</v>
      </c>
      <c r="F110" s="4">
        <f t="shared" si="23"/>
        <v>48</v>
      </c>
      <c r="G110" s="6">
        <f t="shared" si="24"/>
        <v>46169</v>
      </c>
      <c r="H110" s="6">
        <f t="shared" si="25"/>
        <v>46349</v>
      </c>
      <c r="I110" s="6" t="str">
        <f t="shared" si="26"/>
        <v/>
      </c>
      <c r="J110" s="3" t="str">
        <f t="shared" si="27"/>
        <v/>
      </c>
      <c r="K110" s="3" t="str">
        <f t="shared" si="28"/>
        <v>Material Ordered</v>
      </c>
      <c r="L110" s="3" t="str">
        <f t="shared" si="29"/>
        <v>In Progress</v>
      </c>
      <c r="M110" s="3" t="str">
        <f t="shared" si="30"/>
        <v>Pending</v>
      </c>
      <c r="N110" s="3" t="str">
        <f t="shared" si="16"/>
        <v>In Progress</v>
      </c>
      <c r="P110" s="3">
        <f t="shared" si="17"/>
        <v>1</v>
      </c>
    </row>
    <row r="111" spans="1:16" x14ac:dyDescent="0.35">
      <c r="A111" s="3" t="str">
        <f t="shared" si="18"/>
        <v>PRJ110</v>
      </c>
      <c r="B111" s="8" t="str">
        <f t="shared" si="19"/>
        <v>Emerald Heights 110</v>
      </c>
      <c r="C111" s="3" t="str">
        <f t="shared" si="20"/>
        <v>Central Kerala</v>
      </c>
      <c r="D111" s="3" t="str">
        <f t="shared" si="21"/>
        <v>Thrissur</v>
      </c>
      <c r="E111" s="3" t="str">
        <f t="shared" si="22"/>
        <v>Apartment</v>
      </c>
      <c r="F111" s="4">
        <f t="shared" si="23"/>
        <v>32</v>
      </c>
      <c r="G111" s="6">
        <f t="shared" si="24"/>
        <v>46176</v>
      </c>
      <c r="H111" s="6">
        <f t="shared" si="25"/>
        <v>46386</v>
      </c>
      <c r="I111" s="6">
        <f t="shared" si="26"/>
        <v>46396</v>
      </c>
      <c r="J111" s="3">
        <f t="shared" si="27"/>
        <v>10</v>
      </c>
      <c r="K111" s="3" t="str">
        <f t="shared" si="28"/>
        <v>Material Delivered</v>
      </c>
      <c r="L111" s="3" t="str">
        <f t="shared" si="29"/>
        <v>In Progress</v>
      </c>
      <c r="M111" s="3" t="str">
        <f t="shared" si="30"/>
        <v>Pending</v>
      </c>
      <c r="N111" s="3" t="str">
        <f t="shared" si="16"/>
        <v>Delayed</v>
      </c>
      <c r="P111" s="3">
        <f t="shared" si="17"/>
        <v>1</v>
      </c>
    </row>
    <row r="112" spans="1:16" x14ac:dyDescent="0.35">
      <c r="A112" s="3" t="str">
        <f t="shared" si="18"/>
        <v>PRJ111</v>
      </c>
      <c r="B112" s="8" t="str">
        <f t="shared" si="19"/>
        <v>Green Valley Towers 111</v>
      </c>
      <c r="C112" s="3" t="str">
        <f t="shared" si="20"/>
        <v>South Kerala</v>
      </c>
      <c r="D112" s="3" t="str">
        <f t="shared" si="21"/>
        <v>Pathanamthitta</v>
      </c>
      <c r="E112" s="3" t="str">
        <f t="shared" si="22"/>
        <v>Hospital</v>
      </c>
      <c r="F112" s="4">
        <f t="shared" si="23"/>
        <v>18</v>
      </c>
      <c r="G112" s="6">
        <f t="shared" si="24"/>
        <v>46183</v>
      </c>
      <c r="H112" s="6">
        <f t="shared" si="25"/>
        <v>46273</v>
      </c>
      <c r="I112" s="6">
        <f t="shared" si="26"/>
        <v>46268</v>
      </c>
      <c r="J112" s="3">
        <f t="shared" si="27"/>
        <v>-5</v>
      </c>
      <c r="K112" s="3" t="str">
        <f t="shared" si="28"/>
        <v>Installation Started</v>
      </c>
      <c r="L112" s="3" t="str">
        <f t="shared" si="29"/>
        <v>In Progress</v>
      </c>
      <c r="M112" s="3" t="str">
        <f t="shared" si="30"/>
        <v>Pending</v>
      </c>
      <c r="N112" s="3" t="str">
        <f t="shared" si="16"/>
        <v>Early</v>
      </c>
      <c r="P112" s="3">
        <f t="shared" si="17"/>
        <v>1</v>
      </c>
    </row>
    <row r="113" spans="1:16" x14ac:dyDescent="0.35">
      <c r="A113" s="3" t="str">
        <f t="shared" si="18"/>
        <v>PRJ112</v>
      </c>
      <c r="B113" s="8" t="str">
        <f t="shared" si="19"/>
        <v>Royal Palm Towers 112</v>
      </c>
      <c r="C113" s="3" t="str">
        <f t="shared" si="20"/>
        <v>North Kerala</v>
      </c>
      <c r="D113" s="3" t="str">
        <f t="shared" si="21"/>
        <v>Kasaragod</v>
      </c>
      <c r="E113" s="3" t="str">
        <f t="shared" si="22"/>
        <v>Office</v>
      </c>
      <c r="F113" s="4">
        <f t="shared" si="23"/>
        <v>24</v>
      </c>
      <c r="G113" s="6">
        <f t="shared" si="24"/>
        <v>46190</v>
      </c>
      <c r="H113" s="6">
        <f t="shared" si="25"/>
        <v>46310</v>
      </c>
      <c r="I113" s="6">
        <f t="shared" si="26"/>
        <v>46310</v>
      </c>
      <c r="J113" s="3">
        <f t="shared" si="27"/>
        <v>0</v>
      </c>
      <c r="K113" s="3" t="str">
        <f t="shared" si="28"/>
        <v>Mechanical Completion</v>
      </c>
      <c r="L113" s="3" t="str">
        <f t="shared" si="29"/>
        <v>In Progress</v>
      </c>
      <c r="M113" s="3" t="str">
        <f t="shared" si="30"/>
        <v>Pending</v>
      </c>
      <c r="N113" s="3" t="str">
        <f t="shared" si="16"/>
        <v>On Time</v>
      </c>
      <c r="P113" s="3">
        <f t="shared" si="17"/>
        <v>1</v>
      </c>
    </row>
    <row r="114" spans="1:16" x14ac:dyDescent="0.35">
      <c r="A114" s="3" t="str">
        <f t="shared" si="18"/>
        <v>PRJ113</v>
      </c>
      <c r="B114" s="8" t="str">
        <f t="shared" si="19"/>
        <v>Skyline Towers 113</v>
      </c>
      <c r="C114" s="3" t="str">
        <f t="shared" si="20"/>
        <v>Central Kerala</v>
      </c>
      <c r="D114" s="3" t="str">
        <f t="shared" si="21"/>
        <v>Idukki</v>
      </c>
      <c r="E114" s="3" t="str">
        <f t="shared" si="22"/>
        <v>Hotel</v>
      </c>
      <c r="F114" s="4">
        <f t="shared" si="23"/>
        <v>42</v>
      </c>
      <c r="G114" s="6">
        <f t="shared" si="24"/>
        <v>46197</v>
      </c>
      <c r="H114" s="6">
        <f t="shared" si="25"/>
        <v>46347</v>
      </c>
      <c r="I114" s="6" t="str">
        <f t="shared" si="26"/>
        <v/>
      </c>
      <c r="J114" s="3" t="str">
        <f t="shared" si="27"/>
        <v/>
      </c>
      <c r="K114" s="3" t="str">
        <f t="shared" si="28"/>
        <v>Testing &amp; Commissioning</v>
      </c>
      <c r="L114" s="3" t="str">
        <f t="shared" si="29"/>
        <v>In Progress</v>
      </c>
      <c r="M114" s="3" t="str">
        <f t="shared" si="30"/>
        <v>Pending</v>
      </c>
      <c r="N114" s="3" t="str">
        <f t="shared" si="16"/>
        <v>In Progress</v>
      </c>
      <c r="P114" s="3">
        <f t="shared" si="17"/>
        <v>1</v>
      </c>
    </row>
    <row r="115" spans="1:16" x14ac:dyDescent="0.35">
      <c r="A115" s="3" t="str">
        <f t="shared" si="18"/>
        <v>PRJ114</v>
      </c>
      <c r="B115" s="8" t="str">
        <f t="shared" si="19"/>
        <v>Harmony Towers 114</v>
      </c>
      <c r="C115" s="3" t="str">
        <f t="shared" si="20"/>
        <v>South Kerala</v>
      </c>
      <c r="D115" s="3" t="str">
        <f t="shared" si="21"/>
        <v>Kollam</v>
      </c>
      <c r="E115" s="3" t="str">
        <f t="shared" si="22"/>
        <v>Commercial</v>
      </c>
      <c r="F115" s="4">
        <f t="shared" si="23"/>
        <v>65</v>
      </c>
      <c r="G115" s="6">
        <f t="shared" si="24"/>
        <v>46024</v>
      </c>
      <c r="H115" s="6">
        <f t="shared" si="25"/>
        <v>46204</v>
      </c>
      <c r="I115" s="6">
        <f t="shared" si="26"/>
        <v>46202</v>
      </c>
      <c r="J115" s="3">
        <f t="shared" si="27"/>
        <v>-2</v>
      </c>
      <c r="K115" s="3" t="str">
        <f t="shared" si="28"/>
        <v>Handover</v>
      </c>
      <c r="L115" s="3" t="str">
        <f t="shared" si="29"/>
        <v>Completed</v>
      </c>
      <c r="M115" s="3" t="str">
        <f t="shared" si="30"/>
        <v>Completed</v>
      </c>
      <c r="N115" s="3" t="str">
        <f t="shared" si="16"/>
        <v>Early</v>
      </c>
      <c r="P115" s="3">
        <f t="shared" si="17"/>
        <v>1</v>
      </c>
    </row>
    <row r="116" spans="1:16" x14ac:dyDescent="0.35">
      <c r="A116" s="3" t="str">
        <f t="shared" si="18"/>
        <v>PRJ115</v>
      </c>
      <c r="B116" s="8" t="str">
        <f t="shared" si="19"/>
        <v>Lakeside Towers 115</v>
      </c>
      <c r="C116" s="3" t="str">
        <f t="shared" si="20"/>
        <v>North Kerala</v>
      </c>
      <c r="D116" s="3" t="str">
        <f t="shared" si="21"/>
        <v>Wayanad</v>
      </c>
      <c r="E116" s="3" t="str">
        <f t="shared" si="22"/>
        <v>Residential</v>
      </c>
      <c r="F116" s="4">
        <f t="shared" si="23"/>
        <v>38</v>
      </c>
      <c r="G116" s="6">
        <f t="shared" si="24"/>
        <v>46031</v>
      </c>
      <c r="H116" s="6">
        <f t="shared" si="25"/>
        <v>46241</v>
      </c>
      <c r="I116" s="6">
        <f t="shared" si="26"/>
        <v>46251</v>
      </c>
      <c r="J116" s="3">
        <f t="shared" si="27"/>
        <v>10</v>
      </c>
      <c r="K116" s="3" t="str">
        <f t="shared" si="28"/>
        <v>Material Ordered</v>
      </c>
      <c r="L116" s="3" t="str">
        <f t="shared" si="29"/>
        <v>In Progress</v>
      </c>
      <c r="M116" s="3" t="str">
        <f t="shared" si="30"/>
        <v>Pending</v>
      </c>
      <c r="N116" s="3" t="str">
        <f t="shared" si="16"/>
        <v>Delayed</v>
      </c>
      <c r="P116" s="3">
        <f t="shared" si="17"/>
        <v>1</v>
      </c>
    </row>
    <row r="117" spans="1:16" x14ac:dyDescent="0.35">
      <c r="A117" s="3" t="str">
        <f t="shared" si="18"/>
        <v>PRJ116</v>
      </c>
      <c r="B117" s="8" t="str">
        <f t="shared" si="19"/>
        <v>Sunrise Towers 116</v>
      </c>
      <c r="C117" s="3" t="str">
        <f t="shared" si="20"/>
        <v>Central Kerala</v>
      </c>
      <c r="D117" s="3" t="str">
        <f t="shared" si="21"/>
        <v>Thrissur</v>
      </c>
      <c r="E117" s="3" t="str">
        <f t="shared" si="22"/>
        <v>Apartment</v>
      </c>
      <c r="F117" s="4">
        <f t="shared" si="23"/>
        <v>55</v>
      </c>
      <c r="G117" s="6">
        <f t="shared" si="24"/>
        <v>46038</v>
      </c>
      <c r="H117" s="6">
        <f t="shared" si="25"/>
        <v>46128</v>
      </c>
      <c r="I117" s="6">
        <f t="shared" si="26"/>
        <v>46123</v>
      </c>
      <c r="J117" s="3">
        <f t="shared" si="27"/>
        <v>-5</v>
      </c>
      <c r="K117" s="3" t="str">
        <f t="shared" si="28"/>
        <v>Material Delivered</v>
      </c>
      <c r="L117" s="3" t="str">
        <f t="shared" si="29"/>
        <v>In Progress</v>
      </c>
      <c r="M117" s="3" t="str">
        <f t="shared" si="30"/>
        <v>Pending</v>
      </c>
      <c r="N117" s="3" t="str">
        <f t="shared" si="16"/>
        <v>Early</v>
      </c>
      <c r="P117" s="3">
        <f t="shared" si="17"/>
        <v>1</v>
      </c>
    </row>
    <row r="118" spans="1:16" x14ac:dyDescent="0.35">
      <c r="A118" s="3" t="str">
        <f t="shared" si="18"/>
        <v>PRJ117</v>
      </c>
      <c r="B118" s="8" t="str">
        <f t="shared" si="19"/>
        <v>Silver Oak Towers 117</v>
      </c>
      <c r="C118" s="3" t="str">
        <f t="shared" si="20"/>
        <v>South Kerala</v>
      </c>
      <c r="D118" s="3" t="str">
        <f t="shared" si="21"/>
        <v>Trivandrum</v>
      </c>
      <c r="E118" s="3" t="str">
        <f t="shared" si="22"/>
        <v>Hospital</v>
      </c>
      <c r="F118" s="4">
        <f t="shared" si="23"/>
        <v>27</v>
      </c>
      <c r="G118" s="6">
        <f t="shared" si="24"/>
        <v>46045</v>
      </c>
      <c r="H118" s="6">
        <f t="shared" si="25"/>
        <v>46165</v>
      </c>
      <c r="I118" s="6" t="str">
        <f t="shared" si="26"/>
        <v/>
      </c>
      <c r="J118" s="3" t="str">
        <f t="shared" si="27"/>
        <v/>
      </c>
      <c r="K118" s="3" t="str">
        <f t="shared" si="28"/>
        <v>Installation Started</v>
      </c>
      <c r="L118" s="3" t="str">
        <f t="shared" si="29"/>
        <v>In Progress</v>
      </c>
      <c r="M118" s="3" t="str">
        <f t="shared" si="30"/>
        <v>Pending</v>
      </c>
      <c r="N118" s="3" t="str">
        <f t="shared" si="16"/>
        <v>In Progress</v>
      </c>
      <c r="P118" s="3">
        <f t="shared" si="17"/>
        <v>1</v>
      </c>
    </row>
    <row r="119" spans="1:16" x14ac:dyDescent="0.35">
      <c r="A119" s="3" t="str">
        <f t="shared" si="18"/>
        <v>PRJ118</v>
      </c>
      <c r="B119" s="8" t="str">
        <f t="shared" si="19"/>
        <v>River View Towers 118</v>
      </c>
      <c r="C119" s="3" t="str">
        <f t="shared" si="20"/>
        <v>North Kerala</v>
      </c>
      <c r="D119" s="3" t="str">
        <f t="shared" si="21"/>
        <v>Kozhikode</v>
      </c>
      <c r="E119" s="3" t="str">
        <f t="shared" si="22"/>
        <v>Office</v>
      </c>
      <c r="F119" s="4">
        <f t="shared" si="23"/>
        <v>21</v>
      </c>
      <c r="G119" s="6">
        <f t="shared" si="24"/>
        <v>46052</v>
      </c>
      <c r="H119" s="6">
        <f t="shared" si="25"/>
        <v>46202</v>
      </c>
      <c r="I119" s="6">
        <f t="shared" si="26"/>
        <v>46209</v>
      </c>
      <c r="J119" s="3">
        <f t="shared" si="27"/>
        <v>7</v>
      </c>
      <c r="K119" s="3" t="str">
        <f t="shared" si="28"/>
        <v>Mechanical Completion</v>
      </c>
      <c r="L119" s="3" t="str">
        <f t="shared" si="29"/>
        <v>In Progress</v>
      </c>
      <c r="M119" s="3" t="str">
        <f t="shared" si="30"/>
        <v>Pending</v>
      </c>
      <c r="N119" s="3" t="str">
        <f t="shared" si="16"/>
        <v>Delayed</v>
      </c>
      <c r="P119" s="3">
        <f t="shared" si="17"/>
        <v>1</v>
      </c>
    </row>
    <row r="120" spans="1:16" x14ac:dyDescent="0.35">
      <c r="A120" s="3" t="str">
        <f t="shared" si="18"/>
        <v>PRJ119</v>
      </c>
      <c r="B120" s="8" t="str">
        <f t="shared" si="19"/>
        <v>Golden Gate Towers 119</v>
      </c>
      <c r="C120" s="3" t="str">
        <f t="shared" si="20"/>
        <v>Central Kerala</v>
      </c>
      <c r="D120" s="3" t="str">
        <f t="shared" si="21"/>
        <v>Idukki</v>
      </c>
      <c r="E120" s="3" t="str">
        <f t="shared" si="22"/>
        <v>Hotel</v>
      </c>
      <c r="F120" s="4">
        <f t="shared" si="23"/>
        <v>48</v>
      </c>
      <c r="G120" s="6">
        <f t="shared" si="24"/>
        <v>46059</v>
      </c>
      <c r="H120" s="6">
        <f t="shared" si="25"/>
        <v>46239</v>
      </c>
      <c r="I120" s="6">
        <f t="shared" si="26"/>
        <v>46237</v>
      </c>
      <c r="J120" s="3">
        <f t="shared" si="27"/>
        <v>-2</v>
      </c>
      <c r="K120" s="3" t="str">
        <f t="shared" si="28"/>
        <v>Testing &amp; Commissioning</v>
      </c>
      <c r="L120" s="3" t="str">
        <f t="shared" si="29"/>
        <v>In Progress</v>
      </c>
      <c r="M120" s="3" t="str">
        <f t="shared" si="30"/>
        <v>Pending</v>
      </c>
      <c r="N120" s="3" t="str">
        <f t="shared" si="16"/>
        <v>Early</v>
      </c>
      <c r="P120" s="3">
        <f t="shared" si="17"/>
        <v>1</v>
      </c>
    </row>
    <row r="121" spans="1:16" x14ac:dyDescent="0.35">
      <c r="A121" s="3" t="str">
        <f t="shared" si="18"/>
        <v>PRJ120</v>
      </c>
      <c r="B121" s="8" t="str">
        <f t="shared" si="19"/>
        <v>Emerald Towers 120</v>
      </c>
      <c r="C121" s="3" t="str">
        <f t="shared" si="20"/>
        <v>South Kerala</v>
      </c>
      <c r="D121" s="3" t="str">
        <f t="shared" si="21"/>
        <v>Alappuzha</v>
      </c>
      <c r="E121" s="3" t="str">
        <f t="shared" si="22"/>
        <v>Commercial</v>
      </c>
      <c r="F121" s="4">
        <f t="shared" si="23"/>
        <v>32</v>
      </c>
      <c r="G121" s="6">
        <f t="shared" si="24"/>
        <v>46066</v>
      </c>
      <c r="H121" s="6">
        <f t="shared" si="25"/>
        <v>46276</v>
      </c>
      <c r="I121" s="6">
        <f t="shared" si="26"/>
        <v>46286</v>
      </c>
      <c r="J121" s="3">
        <f t="shared" si="27"/>
        <v>10</v>
      </c>
      <c r="K121" s="3" t="str">
        <f t="shared" si="28"/>
        <v>Handover</v>
      </c>
      <c r="L121" s="3" t="str">
        <f t="shared" si="29"/>
        <v>Completed</v>
      </c>
      <c r="M121" s="3" t="str">
        <f t="shared" si="30"/>
        <v>Completed</v>
      </c>
      <c r="N121" s="3" t="str">
        <f t="shared" si="16"/>
        <v>Delayed</v>
      </c>
      <c r="P121" s="3">
        <f t="shared" si="17"/>
        <v>1</v>
      </c>
    </row>
    <row r="122" spans="1:16" x14ac:dyDescent="0.35">
      <c r="A122" s="3" t="str">
        <f t="shared" si="18"/>
        <v>PRJ121</v>
      </c>
      <c r="B122" s="8" t="str">
        <f t="shared" si="19"/>
        <v>Green Valley Enclave 121</v>
      </c>
      <c r="C122" s="3" t="str">
        <f t="shared" si="20"/>
        <v>North Kerala</v>
      </c>
      <c r="D122" s="3" t="str">
        <f t="shared" si="21"/>
        <v>Kannur</v>
      </c>
      <c r="E122" s="3" t="str">
        <f t="shared" si="22"/>
        <v>Residential</v>
      </c>
      <c r="F122" s="4">
        <f t="shared" si="23"/>
        <v>18</v>
      </c>
      <c r="G122" s="6">
        <f t="shared" si="24"/>
        <v>46073</v>
      </c>
      <c r="H122" s="6">
        <f t="shared" si="25"/>
        <v>46163</v>
      </c>
      <c r="I122" s="6" t="str">
        <f t="shared" si="26"/>
        <v/>
      </c>
      <c r="J122" s="3" t="str">
        <f t="shared" si="27"/>
        <v/>
      </c>
      <c r="K122" s="3" t="str">
        <f t="shared" si="28"/>
        <v>Material Ordered</v>
      </c>
      <c r="L122" s="3" t="str">
        <f t="shared" si="29"/>
        <v>In Progress</v>
      </c>
      <c r="M122" s="3" t="str">
        <f t="shared" si="30"/>
        <v>Pending</v>
      </c>
      <c r="N122" s="3" t="str">
        <f t="shared" si="16"/>
        <v>In Progress</v>
      </c>
      <c r="P122" s="3">
        <f t="shared" si="17"/>
        <v>1</v>
      </c>
    </row>
    <row r="123" spans="1:16" x14ac:dyDescent="0.35">
      <c r="A123" s="3" t="str">
        <f t="shared" si="18"/>
        <v>PRJ122</v>
      </c>
      <c r="B123" s="8" t="str">
        <f t="shared" si="19"/>
        <v>Royal Palm Enclave 122</v>
      </c>
      <c r="C123" s="3" t="str">
        <f t="shared" si="20"/>
        <v>Central Kerala</v>
      </c>
      <c r="D123" s="3" t="str">
        <f t="shared" si="21"/>
        <v>Thrissur</v>
      </c>
      <c r="E123" s="3" t="str">
        <f t="shared" si="22"/>
        <v>Apartment</v>
      </c>
      <c r="F123" s="4">
        <f t="shared" si="23"/>
        <v>24</v>
      </c>
      <c r="G123" s="6">
        <f t="shared" si="24"/>
        <v>46080</v>
      </c>
      <c r="H123" s="6">
        <f t="shared" si="25"/>
        <v>46200</v>
      </c>
      <c r="I123" s="6">
        <f t="shared" si="26"/>
        <v>46200</v>
      </c>
      <c r="J123" s="3">
        <f t="shared" si="27"/>
        <v>0</v>
      </c>
      <c r="K123" s="3" t="str">
        <f t="shared" si="28"/>
        <v>Material Delivered</v>
      </c>
      <c r="L123" s="3" t="str">
        <f t="shared" si="29"/>
        <v>In Progress</v>
      </c>
      <c r="M123" s="3" t="str">
        <f t="shared" si="30"/>
        <v>Pending</v>
      </c>
      <c r="N123" s="3" t="str">
        <f t="shared" si="16"/>
        <v>On Time</v>
      </c>
      <c r="P123" s="3">
        <f t="shared" si="17"/>
        <v>1</v>
      </c>
    </row>
    <row r="124" spans="1:16" x14ac:dyDescent="0.35">
      <c r="A124" s="3" t="str">
        <f t="shared" si="18"/>
        <v>PRJ123</v>
      </c>
      <c r="B124" s="8" t="str">
        <f t="shared" si="19"/>
        <v>Skyline Enclave 123</v>
      </c>
      <c r="C124" s="3" t="str">
        <f t="shared" si="20"/>
        <v>South Kerala</v>
      </c>
      <c r="D124" s="3" t="str">
        <f t="shared" si="21"/>
        <v>Pathanamthitta</v>
      </c>
      <c r="E124" s="3" t="str">
        <f t="shared" si="22"/>
        <v>Hospital</v>
      </c>
      <c r="F124" s="4">
        <f t="shared" si="23"/>
        <v>42</v>
      </c>
      <c r="G124" s="6">
        <f t="shared" si="24"/>
        <v>46087</v>
      </c>
      <c r="H124" s="6">
        <f t="shared" si="25"/>
        <v>46237</v>
      </c>
      <c r="I124" s="6">
        <f t="shared" si="26"/>
        <v>46244</v>
      </c>
      <c r="J124" s="3">
        <f t="shared" si="27"/>
        <v>7</v>
      </c>
      <c r="K124" s="3" t="str">
        <f t="shared" si="28"/>
        <v>Installation Started</v>
      </c>
      <c r="L124" s="3" t="str">
        <f t="shared" si="29"/>
        <v>In Progress</v>
      </c>
      <c r="M124" s="3" t="str">
        <f t="shared" si="30"/>
        <v>Pending</v>
      </c>
      <c r="N124" s="3" t="str">
        <f t="shared" si="16"/>
        <v>Delayed</v>
      </c>
      <c r="P124" s="3">
        <f t="shared" si="17"/>
        <v>1</v>
      </c>
    </row>
    <row r="125" spans="1:16" x14ac:dyDescent="0.35">
      <c r="A125" s="3" t="str">
        <f t="shared" si="18"/>
        <v>PRJ124</v>
      </c>
      <c r="B125" s="8" t="str">
        <f t="shared" si="19"/>
        <v>Harmony Enclave 124</v>
      </c>
      <c r="C125" s="3" t="str">
        <f t="shared" si="20"/>
        <v>North Kerala</v>
      </c>
      <c r="D125" s="3" t="str">
        <f t="shared" si="21"/>
        <v>Kasaragod</v>
      </c>
      <c r="E125" s="3" t="str">
        <f t="shared" si="22"/>
        <v>Office</v>
      </c>
      <c r="F125" s="4">
        <f t="shared" si="23"/>
        <v>65</v>
      </c>
      <c r="G125" s="6">
        <f t="shared" si="24"/>
        <v>46094</v>
      </c>
      <c r="H125" s="6">
        <f t="shared" si="25"/>
        <v>46274</v>
      </c>
      <c r="I125" s="6">
        <f t="shared" si="26"/>
        <v>46272</v>
      </c>
      <c r="J125" s="3">
        <f t="shared" si="27"/>
        <v>-2</v>
      </c>
      <c r="K125" s="3" t="str">
        <f t="shared" si="28"/>
        <v>Mechanical Completion</v>
      </c>
      <c r="L125" s="3" t="str">
        <f t="shared" si="29"/>
        <v>In Progress</v>
      </c>
      <c r="M125" s="3" t="str">
        <f t="shared" si="30"/>
        <v>Pending</v>
      </c>
      <c r="N125" s="3" t="str">
        <f t="shared" si="16"/>
        <v>Early</v>
      </c>
      <c r="P125" s="3">
        <f t="shared" si="17"/>
        <v>1</v>
      </c>
    </row>
    <row r="126" spans="1:16" x14ac:dyDescent="0.35">
      <c r="A126" s="3" t="str">
        <f t="shared" si="18"/>
        <v>PRJ125</v>
      </c>
      <c r="B126" s="8" t="str">
        <f t="shared" si="19"/>
        <v>Lakeside Enclave 125</v>
      </c>
      <c r="C126" s="3" t="str">
        <f t="shared" si="20"/>
        <v>Central Kerala</v>
      </c>
      <c r="D126" s="3" t="str">
        <f t="shared" si="21"/>
        <v>Idukki</v>
      </c>
      <c r="E126" s="3" t="str">
        <f t="shared" si="22"/>
        <v>Hotel</v>
      </c>
      <c r="F126" s="4">
        <f t="shared" si="23"/>
        <v>38</v>
      </c>
      <c r="G126" s="6">
        <f t="shared" si="24"/>
        <v>46101</v>
      </c>
      <c r="H126" s="6">
        <f t="shared" si="25"/>
        <v>46311</v>
      </c>
      <c r="I126" s="6" t="str">
        <f t="shared" si="26"/>
        <v/>
      </c>
      <c r="J126" s="3" t="str">
        <f t="shared" si="27"/>
        <v/>
      </c>
      <c r="K126" s="3" t="str">
        <f t="shared" si="28"/>
        <v>Testing &amp; Commissioning</v>
      </c>
      <c r="L126" s="3" t="str">
        <f t="shared" si="29"/>
        <v>In Progress</v>
      </c>
      <c r="M126" s="3" t="str">
        <f t="shared" si="30"/>
        <v>Pending</v>
      </c>
      <c r="N126" s="3" t="str">
        <f t="shared" si="16"/>
        <v>In Progress</v>
      </c>
      <c r="P126" s="3">
        <f t="shared" si="17"/>
        <v>1</v>
      </c>
    </row>
    <row r="127" spans="1:16" x14ac:dyDescent="0.35">
      <c r="A127" s="3" t="str">
        <f t="shared" si="18"/>
        <v>PRJ126</v>
      </c>
      <c r="B127" s="8" t="str">
        <f t="shared" si="19"/>
        <v>Sunrise Enclave 126</v>
      </c>
      <c r="C127" s="3" t="str">
        <f t="shared" si="20"/>
        <v>South Kerala</v>
      </c>
      <c r="D127" s="3" t="str">
        <f t="shared" si="21"/>
        <v>Kollam</v>
      </c>
      <c r="E127" s="3" t="str">
        <f t="shared" si="22"/>
        <v>Commercial</v>
      </c>
      <c r="F127" s="4">
        <f t="shared" si="23"/>
        <v>55</v>
      </c>
      <c r="G127" s="6">
        <f t="shared" si="24"/>
        <v>46108</v>
      </c>
      <c r="H127" s="6">
        <f t="shared" si="25"/>
        <v>46198</v>
      </c>
      <c r="I127" s="6">
        <f t="shared" si="26"/>
        <v>46193</v>
      </c>
      <c r="J127" s="3">
        <f t="shared" si="27"/>
        <v>-5</v>
      </c>
      <c r="K127" s="3" t="str">
        <f t="shared" si="28"/>
        <v>Handover</v>
      </c>
      <c r="L127" s="3" t="str">
        <f t="shared" si="29"/>
        <v>Completed</v>
      </c>
      <c r="M127" s="3" t="str">
        <f t="shared" si="30"/>
        <v>Completed</v>
      </c>
      <c r="N127" s="3" t="str">
        <f t="shared" si="16"/>
        <v>Early</v>
      </c>
      <c r="P127" s="3">
        <f t="shared" si="17"/>
        <v>1</v>
      </c>
    </row>
    <row r="128" spans="1:16" x14ac:dyDescent="0.35">
      <c r="A128" s="3" t="str">
        <f t="shared" si="18"/>
        <v>PRJ127</v>
      </c>
      <c r="B128" s="8" t="str">
        <f t="shared" si="19"/>
        <v>Silver Oak Enclave 127</v>
      </c>
      <c r="C128" s="3" t="str">
        <f t="shared" si="20"/>
        <v>North Kerala</v>
      </c>
      <c r="D128" s="3" t="str">
        <f t="shared" si="21"/>
        <v>Wayanad</v>
      </c>
      <c r="E128" s="3" t="str">
        <f t="shared" si="22"/>
        <v>Residential</v>
      </c>
      <c r="F128" s="4">
        <f t="shared" si="23"/>
        <v>27</v>
      </c>
      <c r="G128" s="6">
        <f t="shared" si="24"/>
        <v>46115</v>
      </c>
      <c r="H128" s="6">
        <f t="shared" si="25"/>
        <v>46235</v>
      </c>
      <c r="I128" s="6">
        <f t="shared" si="26"/>
        <v>46235</v>
      </c>
      <c r="J128" s="3">
        <f t="shared" si="27"/>
        <v>0</v>
      </c>
      <c r="K128" s="3" t="str">
        <f t="shared" si="28"/>
        <v>Material Ordered</v>
      </c>
      <c r="L128" s="3" t="str">
        <f t="shared" si="29"/>
        <v>In Progress</v>
      </c>
      <c r="M128" s="3" t="str">
        <f t="shared" si="30"/>
        <v>Pending</v>
      </c>
      <c r="N128" s="3" t="str">
        <f t="shared" si="16"/>
        <v>On Time</v>
      </c>
      <c r="P128" s="3">
        <f t="shared" si="17"/>
        <v>1</v>
      </c>
    </row>
    <row r="129" spans="1:16" x14ac:dyDescent="0.35">
      <c r="A129" s="3" t="str">
        <f t="shared" si="18"/>
        <v>PRJ128</v>
      </c>
      <c r="B129" s="8" t="str">
        <f t="shared" si="19"/>
        <v>River View Enclave 128</v>
      </c>
      <c r="C129" s="3" t="str">
        <f t="shared" si="20"/>
        <v>Central Kerala</v>
      </c>
      <c r="D129" s="3" t="str">
        <f t="shared" si="21"/>
        <v>Thrissur</v>
      </c>
      <c r="E129" s="3" t="str">
        <f t="shared" si="22"/>
        <v>Apartment</v>
      </c>
      <c r="F129" s="4">
        <f t="shared" si="23"/>
        <v>21</v>
      </c>
      <c r="G129" s="6">
        <f t="shared" si="24"/>
        <v>46122</v>
      </c>
      <c r="H129" s="6">
        <f t="shared" si="25"/>
        <v>46272</v>
      </c>
      <c r="I129" s="6">
        <f t="shared" si="26"/>
        <v>46279</v>
      </c>
      <c r="J129" s="3">
        <f t="shared" si="27"/>
        <v>7</v>
      </c>
      <c r="K129" s="3" t="str">
        <f t="shared" si="28"/>
        <v>Material Delivered</v>
      </c>
      <c r="L129" s="3" t="str">
        <f t="shared" si="29"/>
        <v>In Progress</v>
      </c>
      <c r="M129" s="3" t="str">
        <f t="shared" si="30"/>
        <v>Pending</v>
      </c>
      <c r="N129" s="3" t="str">
        <f t="shared" si="16"/>
        <v>Delayed</v>
      </c>
      <c r="P129" s="3">
        <f t="shared" si="17"/>
        <v>1</v>
      </c>
    </row>
    <row r="130" spans="1:16" x14ac:dyDescent="0.35">
      <c r="A130" s="3" t="str">
        <f t="shared" si="18"/>
        <v>PRJ129</v>
      </c>
      <c r="B130" s="8" t="str">
        <f t="shared" si="19"/>
        <v>Golden Gate Enclave 129</v>
      </c>
      <c r="C130" s="3" t="str">
        <f t="shared" si="20"/>
        <v>South Kerala</v>
      </c>
      <c r="D130" s="3" t="str">
        <f t="shared" si="21"/>
        <v>Trivandrum</v>
      </c>
      <c r="E130" s="3" t="str">
        <f t="shared" si="22"/>
        <v>Hospital</v>
      </c>
      <c r="F130" s="4">
        <f t="shared" si="23"/>
        <v>48</v>
      </c>
      <c r="G130" s="6">
        <f t="shared" si="24"/>
        <v>46129</v>
      </c>
      <c r="H130" s="6">
        <f t="shared" si="25"/>
        <v>46309</v>
      </c>
      <c r="I130" s="6" t="str">
        <f t="shared" si="26"/>
        <v/>
      </c>
      <c r="J130" s="3" t="str">
        <f t="shared" si="27"/>
        <v/>
      </c>
      <c r="K130" s="3" t="str">
        <f t="shared" si="28"/>
        <v>Installation Started</v>
      </c>
      <c r="L130" s="3" t="str">
        <f t="shared" si="29"/>
        <v>In Progress</v>
      </c>
      <c r="M130" s="3" t="str">
        <f t="shared" si="30"/>
        <v>Pending</v>
      </c>
      <c r="N130" s="3" t="str">
        <f t="shared" ref="N130:N193" si="31">IF(I130="","In Progress",IF(J130&gt;0,"Delayed",IF(J130=0,"On Time","Early")))</f>
        <v>In Progress</v>
      </c>
      <c r="P130" s="3">
        <f t="shared" si="17"/>
        <v>1</v>
      </c>
    </row>
    <row r="131" spans="1:16" x14ac:dyDescent="0.35">
      <c r="A131" s="3" t="str">
        <f t="shared" si="18"/>
        <v>PRJ130</v>
      </c>
      <c r="B131" s="8" t="str">
        <f t="shared" si="19"/>
        <v>Emerald Enclave 130</v>
      </c>
      <c r="C131" s="3" t="str">
        <f t="shared" si="20"/>
        <v>North Kerala</v>
      </c>
      <c r="D131" s="3" t="str">
        <f t="shared" si="21"/>
        <v>Kozhikode</v>
      </c>
      <c r="E131" s="3" t="str">
        <f t="shared" si="22"/>
        <v>Office</v>
      </c>
      <c r="F131" s="4">
        <f t="shared" si="23"/>
        <v>32</v>
      </c>
      <c r="G131" s="6">
        <f t="shared" si="24"/>
        <v>46136</v>
      </c>
      <c r="H131" s="6">
        <f t="shared" si="25"/>
        <v>46346</v>
      </c>
      <c r="I131" s="6">
        <f t="shared" si="26"/>
        <v>46356</v>
      </c>
      <c r="J131" s="3">
        <f t="shared" si="27"/>
        <v>10</v>
      </c>
      <c r="K131" s="3" t="str">
        <f t="shared" si="28"/>
        <v>Mechanical Completion</v>
      </c>
      <c r="L131" s="3" t="str">
        <f t="shared" si="29"/>
        <v>In Progress</v>
      </c>
      <c r="M131" s="3" t="str">
        <f t="shared" si="30"/>
        <v>Pending</v>
      </c>
      <c r="N131" s="3" t="str">
        <f t="shared" si="31"/>
        <v>Delayed</v>
      </c>
      <c r="P131" s="3">
        <f t="shared" ref="P131:P194" si="32">COUNTIF($A$2:$A$306,A131)</f>
        <v>1</v>
      </c>
    </row>
    <row r="132" spans="1:16" x14ac:dyDescent="0.35">
      <c r="A132" s="3" t="str">
        <f t="shared" si="18"/>
        <v>PRJ131</v>
      </c>
      <c r="B132" s="8" t="str">
        <f t="shared" si="19"/>
        <v>Green Valley Business Centre 131</v>
      </c>
      <c r="C132" s="3" t="str">
        <f t="shared" si="20"/>
        <v>Central Kerala</v>
      </c>
      <c r="D132" s="3" t="str">
        <f t="shared" si="21"/>
        <v>Idukki</v>
      </c>
      <c r="E132" s="3" t="str">
        <f t="shared" si="22"/>
        <v>Hotel</v>
      </c>
      <c r="F132" s="4">
        <f t="shared" si="23"/>
        <v>18</v>
      </c>
      <c r="G132" s="6">
        <f t="shared" si="24"/>
        <v>46143</v>
      </c>
      <c r="H132" s="6">
        <f t="shared" si="25"/>
        <v>46233</v>
      </c>
      <c r="I132" s="6">
        <f t="shared" si="26"/>
        <v>46228</v>
      </c>
      <c r="J132" s="3">
        <f t="shared" si="27"/>
        <v>-5</v>
      </c>
      <c r="K132" s="3" t="str">
        <f t="shared" si="28"/>
        <v>Testing &amp; Commissioning</v>
      </c>
      <c r="L132" s="3" t="str">
        <f t="shared" si="29"/>
        <v>In Progress</v>
      </c>
      <c r="M132" s="3" t="str">
        <f t="shared" si="30"/>
        <v>Pending</v>
      </c>
      <c r="N132" s="3" t="str">
        <f t="shared" si="31"/>
        <v>Early</v>
      </c>
      <c r="P132" s="3">
        <f t="shared" si="32"/>
        <v>1</v>
      </c>
    </row>
    <row r="133" spans="1:16" x14ac:dyDescent="0.35">
      <c r="A133" s="3" t="str">
        <f t="shared" si="18"/>
        <v>PRJ132</v>
      </c>
      <c r="B133" s="8" t="str">
        <f t="shared" si="19"/>
        <v>Royal Palm Business Centre 132</v>
      </c>
      <c r="C133" s="3" t="str">
        <f t="shared" si="20"/>
        <v>South Kerala</v>
      </c>
      <c r="D133" s="3" t="str">
        <f t="shared" si="21"/>
        <v>Alappuzha</v>
      </c>
      <c r="E133" s="3" t="str">
        <f t="shared" si="22"/>
        <v>Commercial</v>
      </c>
      <c r="F133" s="4">
        <f t="shared" si="23"/>
        <v>24</v>
      </c>
      <c r="G133" s="6">
        <f t="shared" si="24"/>
        <v>46150</v>
      </c>
      <c r="H133" s="6">
        <f t="shared" si="25"/>
        <v>46270</v>
      </c>
      <c r="I133" s="6">
        <f t="shared" si="26"/>
        <v>46270</v>
      </c>
      <c r="J133" s="3">
        <f t="shared" si="27"/>
        <v>0</v>
      </c>
      <c r="K133" s="3" t="str">
        <f t="shared" si="28"/>
        <v>Handover</v>
      </c>
      <c r="L133" s="3" t="str">
        <f t="shared" si="29"/>
        <v>Completed</v>
      </c>
      <c r="M133" s="3" t="str">
        <f t="shared" si="30"/>
        <v>Completed</v>
      </c>
      <c r="N133" s="3" t="str">
        <f t="shared" si="31"/>
        <v>On Time</v>
      </c>
      <c r="P133" s="3">
        <f t="shared" si="32"/>
        <v>1</v>
      </c>
    </row>
    <row r="134" spans="1:16" x14ac:dyDescent="0.35">
      <c r="A134" s="3" t="str">
        <f t="shared" si="18"/>
        <v>PRJ133</v>
      </c>
      <c r="B134" s="8" t="str">
        <f t="shared" si="19"/>
        <v>Skyline Business Centre 133</v>
      </c>
      <c r="C134" s="3" t="str">
        <f t="shared" si="20"/>
        <v>North Kerala</v>
      </c>
      <c r="D134" s="3" t="str">
        <f t="shared" si="21"/>
        <v>Kannur</v>
      </c>
      <c r="E134" s="3" t="str">
        <f t="shared" si="22"/>
        <v>Residential</v>
      </c>
      <c r="F134" s="4">
        <f t="shared" si="23"/>
        <v>42</v>
      </c>
      <c r="G134" s="6">
        <f t="shared" si="24"/>
        <v>46157</v>
      </c>
      <c r="H134" s="6">
        <f t="shared" si="25"/>
        <v>46307</v>
      </c>
      <c r="I134" s="6" t="str">
        <f t="shared" si="26"/>
        <v/>
      </c>
      <c r="J134" s="3" t="str">
        <f t="shared" si="27"/>
        <v/>
      </c>
      <c r="K134" s="3" t="str">
        <f t="shared" si="28"/>
        <v>Material Ordered</v>
      </c>
      <c r="L134" s="3" t="str">
        <f t="shared" si="29"/>
        <v>In Progress</v>
      </c>
      <c r="M134" s="3" t="str">
        <f t="shared" si="30"/>
        <v>Pending</v>
      </c>
      <c r="N134" s="3" t="str">
        <f t="shared" si="31"/>
        <v>In Progress</v>
      </c>
      <c r="P134" s="3">
        <f t="shared" si="32"/>
        <v>1</v>
      </c>
    </row>
    <row r="135" spans="1:16" x14ac:dyDescent="0.35">
      <c r="A135" s="3" t="str">
        <f t="shared" si="18"/>
        <v>PRJ134</v>
      </c>
      <c r="B135" s="8" t="str">
        <f t="shared" si="19"/>
        <v>Harmony Business Centre 134</v>
      </c>
      <c r="C135" s="3" t="str">
        <f t="shared" si="20"/>
        <v>Central Kerala</v>
      </c>
      <c r="D135" s="3" t="str">
        <f t="shared" si="21"/>
        <v>Thrissur</v>
      </c>
      <c r="E135" s="3" t="str">
        <f t="shared" si="22"/>
        <v>Apartment</v>
      </c>
      <c r="F135" s="4">
        <f t="shared" si="23"/>
        <v>65</v>
      </c>
      <c r="G135" s="6">
        <f t="shared" si="24"/>
        <v>46164</v>
      </c>
      <c r="H135" s="6">
        <f t="shared" si="25"/>
        <v>46344</v>
      </c>
      <c r="I135" s="6">
        <f t="shared" si="26"/>
        <v>46342</v>
      </c>
      <c r="J135" s="3">
        <f t="shared" si="27"/>
        <v>-2</v>
      </c>
      <c r="K135" s="3" t="str">
        <f t="shared" si="28"/>
        <v>Material Delivered</v>
      </c>
      <c r="L135" s="3" t="str">
        <f t="shared" si="29"/>
        <v>In Progress</v>
      </c>
      <c r="M135" s="3" t="str">
        <f t="shared" si="30"/>
        <v>Pending</v>
      </c>
      <c r="N135" s="3" t="str">
        <f t="shared" si="31"/>
        <v>Early</v>
      </c>
      <c r="P135" s="3">
        <f t="shared" si="32"/>
        <v>1</v>
      </c>
    </row>
    <row r="136" spans="1:16" x14ac:dyDescent="0.35">
      <c r="A136" s="3" t="str">
        <f t="shared" si="18"/>
        <v>PRJ135</v>
      </c>
      <c r="B136" s="8" t="str">
        <f t="shared" si="19"/>
        <v>Lakeside Business Centre 135</v>
      </c>
      <c r="C136" s="3" t="str">
        <f t="shared" si="20"/>
        <v>South Kerala</v>
      </c>
      <c r="D136" s="3" t="str">
        <f t="shared" si="21"/>
        <v>Pathanamthitta</v>
      </c>
      <c r="E136" s="3" t="str">
        <f t="shared" si="22"/>
        <v>Hospital</v>
      </c>
      <c r="F136" s="4">
        <f t="shared" si="23"/>
        <v>38</v>
      </c>
      <c r="G136" s="6">
        <f t="shared" si="24"/>
        <v>46171</v>
      </c>
      <c r="H136" s="6">
        <f t="shared" si="25"/>
        <v>46381</v>
      </c>
      <c r="I136" s="6">
        <f t="shared" si="26"/>
        <v>46391</v>
      </c>
      <c r="J136" s="3">
        <f t="shared" si="27"/>
        <v>10</v>
      </c>
      <c r="K136" s="3" t="str">
        <f t="shared" si="28"/>
        <v>Installation Started</v>
      </c>
      <c r="L136" s="3" t="str">
        <f t="shared" si="29"/>
        <v>In Progress</v>
      </c>
      <c r="M136" s="3" t="str">
        <f t="shared" si="30"/>
        <v>Pending</v>
      </c>
      <c r="N136" s="3" t="str">
        <f t="shared" si="31"/>
        <v>Delayed</v>
      </c>
      <c r="P136" s="3">
        <f t="shared" si="32"/>
        <v>1</v>
      </c>
    </row>
    <row r="137" spans="1:16" x14ac:dyDescent="0.35">
      <c r="A137" s="3" t="str">
        <f t="shared" si="18"/>
        <v>PRJ136</v>
      </c>
      <c r="B137" s="8" t="str">
        <f t="shared" si="19"/>
        <v>Sunrise Business Centre 136</v>
      </c>
      <c r="C137" s="3" t="str">
        <f t="shared" si="20"/>
        <v>North Kerala</v>
      </c>
      <c r="D137" s="3" t="str">
        <f t="shared" si="21"/>
        <v>Kasaragod</v>
      </c>
      <c r="E137" s="3" t="str">
        <f t="shared" si="22"/>
        <v>Office</v>
      </c>
      <c r="F137" s="4">
        <f t="shared" si="23"/>
        <v>55</v>
      </c>
      <c r="G137" s="6">
        <f t="shared" si="24"/>
        <v>46178</v>
      </c>
      <c r="H137" s="6">
        <f t="shared" si="25"/>
        <v>46268</v>
      </c>
      <c r="I137" s="6">
        <f t="shared" si="26"/>
        <v>46263</v>
      </c>
      <c r="J137" s="3">
        <f t="shared" si="27"/>
        <v>-5</v>
      </c>
      <c r="K137" s="3" t="str">
        <f t="shared" si="28"/>
        <v>Mechanical Completion</v>
      </c>
      <c r="L137" s="3" t="str">
        <f t="shared" si="29"/>
        <v>In Progress</v>
      </c>
      <c r="M137" s="3" t="str">
        <f t="shared" si="30"/>
        <v>Pending</v>
      </c>
      <c r="N137" s="3" t="str">
        <f t="shared" si="31"/>
        <v>Early</v>
      </c>
      <c r="P137" s="3">
        <f t="shared" si="32"/>
        <v>1</v>
      </c>
    </row>
    <row r="138" spans="1:16" x14ac:dyDescent="0.35">
      <c r="A138" s="3" t="str">
        <f t="shared" si="18"/>
        <v>PRJ137</v>
      </c>
      <c r="B138" s="8" t="str">
        <f t="shared" si="19"/>
        <v>Silver Oak Business Centre 137</v>
      </c>
      <c r="C138" s="3" t="str">
        <f t="shared" si="20"/>
        <v>Central Kerala</v>
      </c>
      <c r="D138" s="3" t="str">
        <f t="shared" si="21"/>
        <v>Idukki</v>
      </c>
      <c r="E138" s="3" t="str">
        <f t="shared" si="22"/>
        <v>Hotel</v>
      </c>
      <c r="F138" s="4">
        <f t="shared" si="23"/>
        <v>27</v>
      </c>
      <c r="G138" s="6">
        <f t="shared" si="24"/>
        <v>46185</v>
      </c>
      <c r="H138" s="6">
        <f t="shared" si="25"/>
        <v>46305</v>
      </c>
      <c r="I138" s="6" t="str">
        <f t="shared" si="26"/>
        <v/>
      </c>
      <c r="J138" s="3" t="str">
        <f t="shared" si="27"/>
        <v/>
      </c>
      <c r="K138" s="3" t="str">
        <f t="shared" si="28"/>
        <v>Testing &amp; Commissioning</v>
      </c>
      <c r="L138" s="3" t="str">
        <f t="shared" si="29"/>
        <v>In Progress</v>
      </c>
      <c r="M138" s="3" t="str">
        <f t="shared" si="30"/>
        <v>Pending</v>
      </c>
      <c r="N138" s="3" t="str">
        <f t="shared" si="31"/>
        <v>In Progress</v>
      </c>
      <c r="P138" s="3">
        <f t="shared" si="32"/>
        <v>1</v>
      </c>
    </row>
    <row r="139" spans="1:16" x14ac:dyDescent="0.35">
      <c r="A139" s="3" t="str">
        <f t="shared" si="18"/>
        <v>PRJ138</v>
      </c>
      <c r="B139" s="8" t="str">
        <f t="shared" si="19"/>
        <v>River View Business Centre 138</v>
      </c>
      <c r="C139" s="3" t="str">
        <f t="shared" si="20"/>
        <v>South Kerala</v>
      </c>
      <c r="D139" s="3" t="str">
        <f t="shared" si="21"/>
        <v>Kollam</v>
      </c>
      <c r="E139" s="3" t="str">
        <f t="shared" si="22"/>
        <v>Commercial</v>
      </c>
      <c r="F139" s="4">
        <f t="shared" si="23"/>
        <v>21</v>
      </c>
      <c r="G139" s="6">
        <f t="shared" si="24"/>
        <v>46192</v>
      </c>
      <c r="H139" s="6">
        <f t="shared" si="25"/>
        <v>46342</v>
      </c>
      <c r="I139" s="6">
        <f t="shared" si="26"/>
        <v>46349</v>
      </c>
      <c r="J139" s="3">
        <f t="shared" si="27"/>
        <v>7</v>
      </c>
      <c r="K139" s="3" t="str">
        <f t="shared" si="28"/>
        <v>Handover</v>
      </c>
      <c r="L139" s="3" t="str">
        <f t="shared" si="29"/>
        <v>Completed</v>
      </c>
      <c r="M139" s="3" t="str">
        <f t="shared" si="30"/>
        <v>Completed</v>
      </c>
      <c r="N139" s="3" t="str">
        <f t="shared" si="31"/>
        <v>Delayed</v>
      </c>
      <c r="P139" s="3">
        <f t="shared" si="32"/>
        <v>1</v>
      </c>
    </row>
    <row r="140" spans="1:16" x14ac:dyDescent="0.35">
      <c r="A140" s="3" t="str">
        <f t="shared" si="18"/>
        <v>PRJ139</v>
      </c>
      <c r="B140" s="8" t="str">
        <f t="shared" si="19"/>
        <v>Golden Gate Business Centre 139</v>
      </c>
      <c r="C140" s="3" t="str">
        <f t="shared" si="20"/>
        <v>North Kerala</v>
      </c>
      <c r="D140" s="3" t="str">
        <f t="shared" si="21"/>
        <v>Wayanad</v>
      </c>
      <c r="E140" s="3" t="str">
        <f t="shared" si="22"/>
        <v>Residential</v>
      </c>
      <c r="F140" s="4">
        <f t="shared" si="23"/>
        <v>48</v>
      </c>
      <c r="G140" s="6">
        <f t="shared" si="24"/>
        <v>46199</v>
      </c>
      <c r="H140" s="6">
        <f t="shared" si="25"/>
        <v>46379</v>
      </c>
      <c r="I140" s="6">
        <f t="shared" si="26"/>
        <v>46377</v>
      </c>
      <c r="J140" s="3">
        <f t="shared" si="27"/>
        <v>-2</v>
      </c>
      <c r="K140" s="3" t="str">
        <f t="shared" si="28"/>
        <v>Material Ordered</v>
      </c>
      <c r="L140" s="3" t="str">
        <f t="shared" si="29"/>
        <v>In Progress</v>
      </c>
      <c r="M140" s="3" t="str">
        <f t="shared" si="30"/>
        <v>Pending</v>
      </c>
      <c r="N140" s="3" t="str">
        <f t="shared" si="31"/>
        <v>Early</v>
      </c>
      <c r="P140" s="3">
        <f t="shared" si="32"/>
        <v>1</v>
      </c>
    </row>
    <row r="141" spans="1:16" x14ac:dyDescent="0.35">
      <c r="A141" s="3" t="str">
        <f t="shared" ref="A141:A204" si="33">"PRJ"&amp;TEXT(ROW()-1,"000")</f>
        <v>PRJ140</v>
      </c>
      <c r="B141" s="8" t="str">
        <f t="shared" ref="B141:B204" si="34">CHOOSE(MOD(ROW()-2,10)+1,"Green Valley","Royal Palm","Skyline","Harmony","Lakeside","Sunrise","Silver Oak","River View","Golden Gate","Emerald")&amp;" "&amp;CHOOSE(MOD(INT((ROW()-2)/10),8)+1,"Residency","Apartments","Heights","Towers","Enclave","Business Centre","Grand Hotel","Care Hospital")&amp;" "&amp;TEXT(ROW()-1,"000")</f>
        <v>Emerald Business Centre 140</v>
      </c>
      <c r="C141" s="3" t="str">
        <f t="shared" ref="C141:C204" si="35">CHOOSE(MOD(ROW()-2,3)+1,"North Kerala","Central Kerala","South Kerala")</f>
        <v>Central Kerala</v>
      </c>
      <c r="D141" s="3" t="str">
        <f t="shared" ref="D141:D204" si="36">IF(C141="North Kerala",CHOOSE(MOD(ROW()-2,4)+1,"Kannur","Kozhikode","Wayanad","Kasaragod"),IF(C141="Central Kerala",CHOOSE(MOD(ROW()-2,6)+1,"Kochi","Thrissur","Kottayam","Palakkad","Idukki","Alappuzha"),CHOOSE(MOD(ROW()-2,4)+1,"Trivandrum","Kollam","Pathanamthitta","Alappuzha")))</f>
        <v>Thrissur</v>
      </c>
      <c r="E141" s="3" t="str">
        <f t="shared" ref="E141:E204" si="37">CHOOSE(MOD(ROW()-2,6)+1,"Residential","Apartment","Hospital","Office","Hotel","Commercial")</f>
        <v>Apartment</v>
      </c>
      <c r="F141" s="4">
        <f t="shared" ref="F141:F204" si="38">CHOOSE(MOD(ROW()-2,10)+1,18,24,42,65,38,55,27,21,48,32)</f>
        <v>32</v>
      </c>
      <c r="G141" s="6">
        <f t="shared" ref="G141:G204" si="39">DATE(2026,1,1)+MOD((ROW()-12)*7,180)</f>
        <v>46026</v>
      </c>
      <c r="H141" s="6">
        <f t="shared" ref="H141:H204" si="40">G141+CHOOSE(MOD(ROW()-2,5)+1,90,120,150,180,210)</f>
        <v>46236</v>
      </c>
      <c r="I141" s="6">
        <f t="shared" ref="I141:I204" si="41">IF(MOD(ROW()-2,4)=0,"",H141+CHOOSE(MOD(ROW()-2,5)+1,-5,0,7,-2,10))</f>
        <v>46246</v>
      </c>
      <c r="J141" s="3">
        <f t="shared" ref="J141:J204" si="42">IF(I141="","",I141-H141)</f>
        <v>10</v>
      </c>
      <c r="K141" s="3" t="str">
        <f t="shared" ref="K141:K204" si="43">CHOOSE(MOD(ROW()-2,6)+1,"Material Ordered","Material Delivered","Installation Started","Mechanical Completion","Testing &amp; Commissioning","Handover")</f>
        <v>Material Delivered</v>
      </c>
      <c r="L141" s="3" t="str">
        <f t="shared" ref="L141:L204" si="44">IF(K141="Handover","Completed","In Progress")</f>
        <v>In Progress</v>
      </c>
      <c r="M141" s="3" t="str">
        <f t="shared" ref="M141:M204" si="45">IF(K141="Handover","Completed","Pending")</f>
        <v>Pending</v>
      </c>
      <c r="N141" s="3" t="str">
        <f t="shared" si="31"/>
        <v>Delayed</v>
      </c>
      <c r="P141" s="3">
        <f t="shared" si="32"/>
        <v>1</v>
      </c>
    </row>
    <row r="142" spans="1:16" x14ac:dyDescent="0.35">
      <c r="A142" s="3" t="str">
        <f t="shared" si="33"/>
        <v>PRJ141</v>
      </c>
      <c r="B142" s="8" t="str">
        <f t="shared" si="34"/>
        <v>Green Valley Grand Hotel 141</v>
      </c>
      <c r="C142" s="3" t="str">
        <f t="shared" si="35"/>
        <v>South Kerala</v>
      </c>
      <c r="D142" s="3" t="str">
        <f t="shared" si="36"/>
        <v>Trivandrum</v>
      </c>
      <c r="E142" s="3" t="str">
        <f t="shared" si="37"/>
        <v>Hospital</v>
      </c>
      <c r="F142" s="4">
        <f t="shared" si="38"/>
        <v>18</v>
      </c>
      <c r="G142" s="6">
        <f t="shared" si="39"/>
        <v>46033</v>
      </c>
      <c r="H142" s="6">
        <f t="shared" si="40"/>
        <v>46123</v>
      </c>
      <c r="I142" s="6" t="str">
        <f t="shared" si="41"/>
        <v/>
      </c>
      <c r="J142" s="3" t="str">
        <f t="shared" si="42"/>
        <v/>
      </c>
      <c r="K142" s="3" t="str">
        <f t="shared" si="43"/>
        <v>Installation Started</v>
      </c>
      <c r="L142" s="3" t="str">
        <f t="shared" si="44"/>
        <v>In Progress</v>
      </c>
      <c r="M142" s="3" t="str">
        <f t="shared" si="45"/>
        <v>Pending</v>
      </c>
      <c r="N142" s="3" t="str">
        <f t="shared" si="31"/>
        <v>In Progress</v>
      </c>
      <c r="P142" s="3">
        <f t="shared" si="32"/>
        <v>1</v>
      </c>
    </row>
    <row r="143" spans="1:16" x14ac:dyDescent="0.35">
      <c r="A143" s="3" t="str">
        <f t="shared" si="33"/>
        <v>PRJ142</v>
      </c>
      <c r="B143" s="8" t="str">
        <f t="shared" si="34"/>
        <v>Royal Palm Grand Hotel 142</v>
      </c>
      <c r="C143" s="3" t="str">
        <f t="shared" si="35"/>
        <v>North Kerala</v>
      </c>
      <c r="D143" s="3" t="str">
        <f t="shared" si="36"/>
        <v>Kozhikode</v>
      </c>
      <c r="E143" s="3" t="str">
        <f t="shared" si="37"/>
        <v>Office</v>
      </c>
      <c r="F143" s="4">
        <f t="shared" si="38"/>
        <v>24</v>
      </c>
      <c r="G143" s="6">
        <f t="shared" si="39"/>
        <v>46040</v>
      </c>
      <c r="H143" s="6">
        <f t="shared" si="40"/>
        <v>46160</v>
      </c>
      <c r="I143" s="6">
        <f t="shared" si="41"/>
        <v>46160</v>
      </c>
      <c r="J143" s="3">
        <f t="shared" si="42"/>
        <v>0</v>
      </c>
      <c r="K143" s="3" t="str">
        <f t="shared" si="43"/>
        <v>Mechanical Completion</v>
      </c>
      <c r="L143" s="3" t="str">
        <f t="shared" si="44"/>
        <v>In Progress</v>
      </c>
      <c r="M143" s="3" t="str">
        <f t="shared" si="45"/>
        <v>Pending</v>
      </c>
      <c r="N143" s="3" t="str">
        <f t="shared" si="31"/>
        <v>On Time</v>
      </c>
      <c r="P143" s="3">
        <f t="shared" si="32"/>
        <v>1</v>
      </c>
    </row>
    <row r="144" spans="1:16" x14ac:dyDescent="0.35">
      <c r="A144" s="3" t="str">
        <f t="shared" si="33"/>
        <v>PRJ143</v>
      </c>
      <c r="B144" s="8" t="str">
        <f t="shared" si="34"/>
        <v>Skyline Grand Hotel 143</v>
      </c>
      <c r="C144" s="3" t="str">
        <f t="shared" si="35"/>
        <v>Central Kerala</v>
      </c>
      <c r="D144" s="3" t="str">
        <f t="shared" si="36"/>
        <v>Idukki</v>
      </c>
      <c r="E144" s="3" t="str">
        <f t="shared" si="37"/>
        <v>Hotel</v>
      </c>
      <c r="F144" s="4">
        <f t="shared" si="38"/>
        <v>42</v>
      </c>
      <c r="G144" s="6">
        <f t="shared" si="39"/>
        <v>46047</v>
      </c>
      <c r="H144" s="6">
        <f t="shared" si="40"/>
        <v>46197</v>
      </c>
      <c r="I144" s="6">
        <f t="shared" si="41"/>
        <v>46204</v>
      </c>
      <c r="J144" s="3">
        <f t="shared" si="42"/>
        <v>7</v>
      </c>
      <c r="K144" s="3" t="str">
        <f t="shared" si="43"/>
        <v>Testing &amp; Commissioning</v>
      </c>
      <c r="L144" s="3" t="str">
        <f t="shared" si="44"/>
        <v>In Progress</v>
      </c>
      <c r="M144" s="3" t="str">
        <f t="shared" si="45"/>
        <v>Pending</v>
      </c>
      <c r="N144" s="3" t="str">
        <f t="shared" si="31"/>
        <v>Delayed</v>
      </c>
      <c r="P144" s="3">
        <f t="shared" si="32"/>
        <v>1</v>
      </c>
    </row>
    <row r="145" spans="1:16" x14ac:dyDescent="0.35">
      <c r="A145" s="3" t="str">
        <f t="shared" si="33"/>
        <v>PRJ144</v>
      </c>
      <c r="B145" s="8" t="str">
        <f t="shared" si="34"/>
        <v>Harmony Grand Hotel 144</v>
      </c>
      <c r="C145" s="3" t="str">
        <f t="shared" si="35"/>
        <v>South Kerala</v>
      </c>
      <c r="D145" s="3" t="str">
        <f t="shared" si="36"/>
        <v>Alappuzha</v>
      </c>
      <c r="E145" s="3" t="str">
        <f t="shared" si="37"/>
        <v>Commercial</v>
      </c>
      <c r="F145" s="4">
        <f t="shared" si="38"/>
        <v>65</v>
      </c>
      <c r="G145" s="6">
        <f t="shared" si="39"/>
        <v>46054</v>
      </c>
      <c r="H145" s="6">
        <f t="shared" si="40"/>
        <v>46234</v>
      </c>
      <c r="I145" s="6">
        <f t="shared" si="41"/>
        <v>46232</v>
      </c>
      <c r="J145" s="3">
        <f t="shared" si="42"/>
        <v>-2</v>
      </c>
      <c r="K145" s="3" t="str">
        <f t="shared" si="43"/>
        <v>Handover</v>
      </c>
      <c r="L145" s="3" t="str">
        <f t="shared" si="44"/>
        <v>Completed</v>
      </c>
      <c r="M145" s="3" t="str">
        <f t="shared" si="45"/>
        <v>Completed</v>
      </c>
      <c r="N145" s="3" t="str">
        <f t="shared" si="31"/>
        <v>Early</v>
      </c>
      <c r="P145" s="3">
        <f t="shared" si="32"/>
        <v>1</v>
      </c>
    </row>
    <row r="146" spans="1:16" x14ac:dyDescent="0.35">
      <c r="A146" s="3" t="str">
        <f t="shared" si="33"/>
        <v>PRJ145</v>
      </c>
      <c r="B146" s="8" t="str">
        <f t="shared" si="34"/>
        <v>Lakeside Grand Hotel 145</v>
      </c>
      <c r="C146" s="3" t="str">
        <f t="shared" si="35"/>
        <v>North Kerala</v>
      </c>
      <c r="D146" s="3" t="str">
        <f t="shared" si="36"/>
        <v>Kannur</v>
      </c>
      <c r="E146" s="3" t="str">
        <f t="shared" si="37"/>
        <v>Residential</v>
      </c>
      <c r="F146" s="4">
        <f t="shared" si="38"/>
        <v>38</v>
      </c>
      <c r="G146" s="6">
        <f t="shared" si="39"/>
        <v>46061</v>
      </c>
      <c r="H146" s="6">
        <f t="shared" si="40"/>
        <v>46271</v>
      </c>
      <c r="I146" s="6" t="str">
        <f t="shared" si="41"/>
        <v/>
      </c>
      <c r="J146" s="3" t="str">
        <f t="shared" si="42"/>
        <v/>
      </c>
      <c r="K146" s="3" t="str">
        <f t="shared" si="43"/>
        <v>Material Ordered</v>
      </c>
      <c r="L146" s="3" t="str">
        <f t="shared" si="44"/>
        <v>In Progress</v>
      </c>
      <c r="M146" s="3" t="str">
        <f t="shared" si="45"/>
        <v>Pending</v>
      </c>
      <c r="N146" s="3" t="str">
        <f t="shared" si="31"/>
        <v>In Progress</v>
      </c>
      <c r="P146" s="3">
        <f t="shared" si="32"/>
        <v>1</v>
      </c>
    </row>
    <row r="147" spans="1:16" x14ac:dyDescent="0.35">
      <c r="A147" s="3" t="str">
        <f t="shared" si="33"/>
        <v>PRJ146</v>
      </c>
      <c r="B147" s="8" t="str">
        <f t="shared" si="34"/>
        <v>Sunrise Grand Hotel 146</v>
      </c>
      <c r="C147" s="3" t="str">
        <f t="shared" si="35"/>
        <v>Central Kerala</v>
      </c>
      <c r="D147" s="3" t="str">
        <f t="shared" si="36"/>
        <v>Thrissur</v>
      </c>
      <c r="E147" s="3" t="str">
        <f t="shared" si="37"/>
        <v>Apartment</v>
      </c>
      <c r="F147" s="4">
        <f t="shared" si="38"/>
        <v>55</v>
      </c>
      <c r="G147" s="6">
        <f t="shared" si="39"/>
        <v>46068</v>
      </c>
      <c r="H147" s="6">
        <f t="shared" si="40"/>
        <v>46158</v>
      </c>
      <c r="I147" s="6">
        <f t="shared" si="41"/>
        <v>46153</v>
      </c>
      <c r="J147" s="3">
        <f t="shared" si="42"/>
        <v>-5</v>
      </c>
      <c r="K147" s="3" t="str">
        <f t="shared" si="43"/>
        <v>Material Delivered</v>
      </c>
      <c r="L147" s="3" t="str">
        <f t="shared" si="44"/>
        <v>In Progress</v>
      </c>
      <c r="M147" s="3" t="str">
        <f t="shared" si="45"/>
        <v>Pending</v>
      </c>
      <c r="N147" s="3" t="str">
        <f t="shared" si="31"/>
        <v>Early</v>
      </c>
      <c r="P147" s="3">
        <f t="shared" si="32"/>
        <v>1</v>
      </c>
    </row>
    <row r="148" spans="1:16" x14ac:dyDescent="0.35">
      <c r="A148" s="3" t="str">
        <f t="shared" si="33"/>
        <v>PRJ147</v>
      </c>
      <c r="B148" s="8" t="str">
        <f t="shared" si="34"/>
        <v>Silver Oak Grand Hotel 147</v>
      </c>
      <c r="C148" s="3" t="str">
        <f t="shared" si="35"/>
        <v>South Kerala</v>
      </c>
      <c r="D148" s="3" t="str">
        <f t="shared" si="36"/>
        <v>Pathanamthitta</v>
      </c>
      <c r="E148" s="3" t="str">
        <f t="shared" si="37"/>
        <v>Hospital</v>
      </c>
      <c r="F148" s="4">
        <f t="shared" si="38"/>
        <v>27</v>
      </c>
      <c r="G148" s="6">
        <f t="shared" si="39"/>
        <v>46075</v>
      </c>
      <c r="H148" s="6">
        <f t="shared" si="40"/>
        <v>46195</v>
      </c>
      <c r="I148" s="6">
        <f t="shared" si="41"/>
        <v>46195</v>
      </c>
      <c r="J148" s="3">
        <f t="shared" si="42"/>
        <v>0</v>
      </c>
      <c r="K148" s="3" t="str">
        <f t="shared" si="43"/>
        <v>Installation Started</v>
      </c>
      <c r="L148" s="3" t="str">
        <f t="shared" si="44"/>
        <v>In Progress</v>
      </c>
      <c r="M148" s="3" t="str">
        <f t="shared" si="45"/>
        <v>Pending</v>
      </c>
      <c r="N148" s="3" t="str">
        <f t="shared" si="31"/>
        <v>On Time</v>
      </c>
      <c r="P148" s="3">
        <f t="shared" si="32"/>
        <v>1</v>
      </c>
    </row>
    <row r="149" spans="1:16" x14ac:dyDescent="0.35">
      <c r="A149" s="3" t="str">
        <f t="shared" si="33"/>
        <v>PRJ148</v>
      </c>
      <c r="B149" s="8" t="str">
        <f t="shared" si="34"/>
        <v>River View Grand Hotel 148</v>
      </c>
      <c r="C149" s="3" t="str">
        <f t="shared" si="35"/>
        <v>North Kerala</v>
      </c>
      <c r="D149" s="3" t="str">
        <f t="shared" si="36"/>
        <v>Kasaragod</v>
      </c>
      <c r="E149" s="3" t="str">
        <f t="shared" si="37"/>
        <v>Office</v>
      </c>
      <c r="F149" s="4">
        <f t="shared" si="38"/>
        <v>21</v>
      </c>
      <c r="G149" s="6">
        <f t="shared" si="39"/>
        <v>46082</v>
      </c>
      <c r="H149" s="6">
        <f t="shared" si="40"/>
        <v>46232</v>
      </c>
      <c r="I149" s="6">
        <f t="shared" si="41"/>
        <v>46239</v>
      </c>
      <c r="J149" s="3">
        <f t="shared" si="42"/>
        <v>7</v>
      </c>
      <c r="K149" s="3" t="str">
        <f t="shared" si="43"/>
        <v>Mechanical Completion</v>
      </c>
      <c r="L149" s="3" t="str">
        <f t="shared" si="44"/>
        <v>In Progress</v>
      </c>
      <c r="M149" s="3" t="str">
        <f t="shared" si="45"/>
        <v>Pending</v>
      </c>
      <c r="N149" s="3" t="str">
        <f t="shared" si="31"/>
        <v>Delayed</v>
      </c>
      <c r="P149" s="3">
        <f t="shared" si="32"/>
        <v>1</v>
      </c>
    </row>
    <row r="150" spans="1:16" x14ac:dyDescent="0.35">
      <c r="A150" s="3" t="str">
        <f t="shared" si="33"/>
        <v>PRJ149</v>
      </c>
      <c r="B150" s="8" t="str">
        <f t="shared" si="34"/>
        <v>Golden Gate Grand Hotel 149</v>
      </c>
      <c r="C150" s="3" t="str">
        <f t="shared" si="35"/>
        <v>Central Kerala</v>
      </c>
      <c r="D150" s="3" t="str">
        <f t="shared" si="36"/>
        <v>Idukki</v>
      </c>
      <c r="E150" s="3" t="str">
        <f t="shared" si="37"/>
        <v>Hotel</v>
      </c>
      <c r="F150" s="4">
        <f t="shared" si="38"/>
        <v>48</v>
      </c>
      <c r="G150" s="6">
        <f t="shared" si="39"/>
        <v>46089</v>
      </c>
      <c r="H150" s="6">
        <f t="shared" si="40"/>
        <v>46269</v>
      </c>
      <c r="I150" s="6" t="str">
        <f t="shared" si="41"/>
        <v/>
      </c>
      <c r="J150" s="3" t="str">
        <f t="shared" si="42"/>
        <v/>
      </c>
      <c r="K150" s="3" t="str">
        <f t="shared" si="43"/>
        <v>Testing &amp; Commissioning</v>
      </c>
      <c r="L150" s="3" t="str">
        <f t="shared" si="44"/>
        <v>In Progress</v>
      </c>
      <c r="M150" s="3" t="str">
        <f t="shared" si="45"/>
        <v>Pending</v>
      </c>
      <c r="N150" s="3" t="str">
        <f t="shared" si="31"/>
        <v>In Progress</v>
      </c>
      <c r="P150" s="3">
        <f t="shared" si="32"/>
        <v>1</v>
      </c>
    </row>
    <row r="151" spans="1:16" x14ac:dyDescent="0.35">
      <c r="A151" s="3" t="str">
        <f t="shared" si="33"/>
        <v>PRJ150</v>
      </c>
      <c r="B151" s="8" t="str">
        <f t="shared" si="34"/>
        <v>Emerald Grand Hotel 150</v>
      </c>
      <c r="C151" s="3" t="str">
        <f t="shared" si="35"/>
        <v>South Kerala</v>
      </c>
      <c r="D151" s="3" t="str">
        <f t="shared" si="36"/>
        <v>Kollam</v>
      </c>
      <c r="E151" s="3" t="str">
        <f t="shared" si="37"/>
        <v>Commercial</v>
      </c>
      <c r="F151" s="4">
        <f t="shared" si="38"/>
        <v>32</v>
      </c>
      <c r="G151" s="6">
        <f t="shared" si="39"/>
        <v>46096</v>
      </c>
      <c r="H151" s="6">
        <f t="shared" si="40"/>
        <v>46306</v>
      </c>
      <c r="I151" s="6">
        <f t="shared" si="41"/>
        <v>46316</v>
      </c>
      <c r="J151" s="3">
        <f t="shared" si="42"/>
        <v>10</v>
      </c>
      <c r="K151" s="3" t="str">
        <f t="shared" si="43"/>
        <v>Handover</v>
      </c>
      <c r="L151" s="3" t="str">
        <f t="shared" si="44"/>
        <v>Completed</v>
      </c>
      <c r="M151" s="3" t="str">
        <f t="shared" si="45"/>
        <v>Completed</v>
      </c>
      <c r="N151" s="3" t="str">
        <f t="shared" si="31"/>
        <v>Delayed</v>
      </c>
      <c r="P151" s="3">
        <f t="shared" si="32"/>
        <v>1</v>
      </c>
    </row>
    <row r="152" spans="1:16" x14ac:dyDescent="0.35">
      <c r="A152" s="3" t="str">
        <f t="shared" si="33"/>
        <v>PRJ151</v>
      </c>
      <c r="B152" s="8" t="str">
        <f t="shared" si="34"/>
        <v>Green Valley Care Hospital 151</v>
      </c>
      <c r="C152" s="3" t="str">
        <f t="shared" si="35"/>
        <v>North Kerala</v>
      </c>
      <c r="D152" s="3" t="str">
        <f t="shared" si="36"/>
        <v>Wayanad</v>
      </c>
      <c r="E152" s="3" t="str">
        <f t="shared" si="37"/>
        <v>Residential</v>
      </c>
      <c r="F152" s="4">
        <f t="shared" si="38"/>
        <v>18</v>
      </c>
      <c r="G152" s="6">
        <f t="shared" si="39"/>
        <v>46103</v>
      </c>
      <c r="H152" s="6">
        <f t="shared" si="40"/>
        <v>46193</v>
      </c>
      <c r="I152" s="6">
        <f t="shared" si="41"/>
        <v>46188</v>
      </c>
      <c r="J152" s="3">
        <f t="shared" si="42"/>
        <v>-5</v>
      </c>
      <c r="K152" s="3" t="str">
        <f t="shared" si="43"/>
        <v>Material Ordered</v>
      </c>
      <c r="L152" s="3" t="str">
        <f t="shared" si="44"/>
        <v>In Progress</v>
      </c>
      <c r="M152" s="3" t="str">
        <f t="shared" si="45"/>
        <v>Pending</v>
      </c>
      <c r="N152" s="3" t="str">
        <f t="shared" si="31"/>
        <v>Early</v>
      </c>
      <c r="P152" s="3">
        <f t="shared" si="32"/>
        <v>1</v>
      </c>
    </row>
    <row r="153" spans="1:16" x14ac:dyDescent="0.35">
      <c r="A153" s="3" t="str">
        <f t="shared" si="33"/>
        <v>PRJ152</v>
      </c>
      <c r="B153" s="8" t="str">
        <f t="shared" si="34"/>
        <v>Royal Palm Care Hospital 152</v>
      </c>
      <c r="C153" s="3" t="str">
        <f t="shared" si="35"/>
        <v>Central Kerala</v>
      </c>
      <c r="D153" s="3" t="str">
        <f t="shared" si="36"/>
        <v>Thrissur</v>
      </c>
      <c r="E153" s="3" t="str">
        <f t="shared" si="37"/>
        <v>Apartment</v>
      </c>
      <c r="F153" s="4">
        <f t="shared" si="38"/>
        <v>24</v>
      </c>
      <c r="G153" s="6">
        <f t="shared" si="39"/>
        <v>46110</v>
      </c>
      <c r="H153" s="6">
        <f t="shared" si="40"/>
        <v>46230</v>
      </c>
      <c r="I153" s="6">
        <f t="shared" si="41"/>
        <v>46230</v>
      </c>
      <c r="J153" s="3">
        <f t="shared" si="42"/>
        <v>0</v>
      </c>
      <c r="K153" s="3" t="str">
        <f t="shared" si="43"/>
        <v>Material Delivered</v>
      </c>
      <c r="L153" s="3" t="str">
        <f t="shared" si="44"/>
        <v>In Progress</v>
      </c>
      <c r="M153" s="3" t="str">
        <f t="shared" si="45"/>
        <v>Pending</v>
      </c>
      <c r="N153" s="3" t="str">
        <f t="shared" si="31"/>
        <v>On Time</v>
      </c>
      <c r="P153" s="3">
        <f t="shared" si="32"/>
        <v>1</v>
      </c>
    </row>
    <row r="154" spans="1:16" x14ac:dyDescent="0.35">
      <c r="A154" s="3" t="str">
        <f t="shared" si="33"/>
        <v>PRJ153</v>
      </c>
      <c r="B154" s="8" t="str">
        <f t="shared" si="34"/>
        <v>Skyline Care Hospital 153</v>
      </c>
      <c r="C154" s="3" t="str">
        <f t="shared" si="35"/>
        <v>South Kerala</v>
      </c>
      <c r="D154" s="3" t="str">
        <f t="shared" si="36"/>
        <v>Trivandrum</v>
      </c>
      <c r="E154" s="3" t="str">
        <f t="shared" si="37"/>
        <v>Hospital</v>
      </c>
      <c r="F154" s="4">
        <f t="shared" si="38"/>
        <v>42</v>
      </c>
      <c r="G154" s="6">
        <f t="shared" si="39"/>
        <v>46117</v>
      </c>
      <c r="H154" s="6">
        <f t="shared" si="40"/>
        <v>46267</v>
      </c>
      <c r="I154" s="6" t="str">
        <f t="shared" si="41"/>
        <v/>
      </c>
      <c r="J154" s="3" t="str">
        <f t="shared" si="42"/>
        <v/>
      </c>
      <c r="K154" s="3" t="str">
        <f t="shared" si="43"/>
        <v>Installation Started</v>
      </c>
      <c r="L154" s="3" t="str">
        <f t="shared" si="44"/>
        <v>In Progress</v>
      </c>
      <c r="M154" s="3" t="str">
        <f t="shared" si="45"/>
        <v>Pending</v>
      </c>
      <c r="N154" s="3" t="str">
        <f t="shared" si="31"/>
        <v>In Progress</v>
      </c>
      <c r="P154" s="3">
        <f t="shared" si="32"/>
        <v>1</v>
      </c>
    </row>
    <row r="155" spans="1:16" x14ac:dyDescent="0.35">
      <c r="A155" s="3" t="str">
        <f t="shared" si="33"/>
        <v>PRJ154</v>
      </c>
      <c r="B155" s="8" t="str">
        <f t="shared" si="34"/>
        <v>Harmony Care Hospital 154</v>
      </c>
      <c r="C155" s="3" t="str">
        <f t="shared" si="35"/>
        <v>North Kerala</v>
      </c>
      <c r="D155" s="3" t="str">
        <f t="shared" si="36"/>
        <v>Kozhikode</v>
      </c>
      <c r="E155" s="3" t="str">
        <f t="shared" si="37"/>
        <v>Office</v>
      </c>
      <c r="F155" s="4">
        <f t="shared" si="38"/>
        <v>65</v>
      </c>
      <c r="G155" s="6">
        <f t="shared" si="39"/>
        <v>46124</v>
      </c>
      <c r="H155" s="6">
        <f t="shared" si="40"/>
        <v>46304</v>
      </c>
      <c r="I155" s="6">
        <f t="shared" si="41"/>
        <v>46302</v>
      </c>
      <c r="J155" s="3">
        <f t="shared" si="42"/>
        <v>-2</v>
      </c>
      <c r="K155" s="3" t="str">
        <f t="shared" si="43"/>
        <v>Mechanical Completion</v>
      </c>
      <c r="L155" s="3" t="str">
        <f t="shared" si="44"/>
        <v>In Progress</v>
      </c>
      <c r="M155" s="3" t="str">
        <f t="shared" si="45"/>
        <v>Pending</v>
      </c>
      <c r="N155" s="3" t="str">
        <f t="shared" si="31"/>
        <v>Early</v>
      </c>
      <c r="P155" s="3">
        <f t="shared" si="32"/>
        <v>1</v>
      </c>
    </row>
    <row r="156" spans="1:16" x14ac:dyDescent="0.35">
      <c r="A156" s="3" t="str">
        <f t="shared" si="33"/>
        <v>PRJ155</v>
      </c>
      <c r="B156" s="8" t="str">
        <f t="shared" si="34"/>
        <v>Lakeside Care Hospital 155</v>
      </c>
      <c r="C156" s="3" t="str">
        <f t="shared" si="35"/>
        <v>Central Kerala</v>
      </c>
      <c r="D156" s="3" t="str">
        <f t="shared" si="36"/>
        <v>Idukki</v>
      </c>
      <c r="E156" s="3" t="str">
        <f t="shared" si="37"/>
        <v>Hotel</v>
      </c>
      <c r="F156" s="4">
        <f t="shared" si="38"/>
        <v>38</v>
      </c>
      <c r="G156" s="6">
        <f t="shared" si="39"/>
        <v>46131</v>
      </c>
      <c r="H156" s="6">
        <f t="shared" si="40"/>
        <v>46341</v>
      </c>
      <c r="I156" s="6">
        <f t="shared" si="41"/>
        <v>46351</v>
      </c>
      <c r="J156" s="3">
        <f t="shared" si="42"/>
        <v>10</v>
      </c>
      <c r="K156" s="3" t="str">
        <f t="shared" si="43"/>
        <v>Testing &amp; Commissioning</v>
      </c>
      <c r="L156" s="3" t="str">
        <f t="shared" si="44"/>
        <v>In Progress</v>
      </c>
      <c r="M156" s="3" t="str">
        <f t="shared" si="45"/>
        <v>Pending</v>
      </c>
      <c r="N156" s="3" t="str">
        <f t="shared" si="31"/>
        <v>Delayed</v>
      </c>
      <c r="P156" s="3">
        <f t="shared" si="32"/>
        <v>1</v>
      </c>
    </row>
    <row r="157" spans="1:16" x14ac:dyDescent="0.35">
      <c r="A157" s="3" t="str">
        <f t="shared" si="33"/>
        <v>PRJ156</v>
      </c>
      <c r="B157" s="8" t="str">
        <f t="shared" si="34"/>
        <v>Sunrise Care Hospital 156</v>
      </c>
      <c r="C157" s="3" t="str">
        <f t="shared" si="35"/>
        <v>South Kerala</v>
      </c>
      <c r="D157" s="3" t="str">
        <f t="shared" si="36"/>
        <v>Alappuzha</v>
      </c>
      <c r="E157" s="3" t="str">
        <f t="shared" si="37"/>
        <v>Commercial</v>
      </c>
      <c r="F157" s="4">
        <f t="shared" si="38"/>
        <v>55</v>
      </c>
      <c r="G157" s="6">
        <f t="shared" si="39"/>
        <v>46138</v>
      </c>
      <c r="H157" s="6">
        <f t="shared" si="40"/>
        <v>46228</v>
      </c>
      <c r="I157" s="6">
        <f t="shared" si="41"/>
        <v>46223</v>
      </c>
      <c r="J157" s="3">
        <f t="shared" si="42"/>
        <v>-5</v>
      </c>
      <c r="K157" s="3" t="str">
        <f t="shared" si="43"/>
        <v>Handover</v>
      </c>
      <c r="L157" s="3" t="str">
        <f t="shared" si="44"/>
        <v>Completed</v>
      </c>
      <c r="M157" s="3" t="str">
        <f t="shared" si="45"/>
        <v>Completed</v>
      </c>
      <c r="N157" s="3" t="str">
        <f t="shared" si="31"/>
        <v>Early</v>
      </c>
      <c r="P157" s="3">
        <f t="shared" si="32"/>
        <v>1</v>
      </c>
    </row>
    <row r="158" spans="1:16" x14ac:dyDescent="0.35">
      <c r="A158" s="3" t="str">
        <f t="shared" si="33"/>
        <v>PRJ157</v>
      </c>
      <c r="B158" s="8" t="str">
        <f t="shared" si="34"/>
        <v>Silver Oak Care Hospital 157</v>
      </c>
      <c r="C158" s="3" t="str">
        <f t="shared" si="35"/>
        <v>North Kerala</v>
      </c>
      <c r="D158" s="3" t="str">
        <f t="shared" si="36"/>
        <v>Kannur</v>
      </c>
      <c r="E158" s="3" t="str">
        <f t="shared" si="37"/>
        <v>Residential</v>
      </c>
      <c r="F158" s="4">
        <f t="shared" si="38"/>
        <v>27</v>
      </c>
      <c r="G158" s="6">
        <f t="shared" si="39"/>
        <v>46145</v>
      </c>
      <c r="H158" s="6">
        <f t="shared" si="40"/>
        <v>46265</v>
      </c>
      <c r="I158" s="6" t="str">
        <f t="shared" si="41"/>
        <v/>
      </c>
      <c r="J158" s="3" t="str">
        <f t="shared" si="42"/>
        <v/>
      </c>
      <c r="K158" s="3" t="str">
        <f t="shared" si="43"/>
        <v>Material Ordered</v>
      </c>
      <c r="L158" s="3" t="str">
        <f t="shared" si="44"/>
        <v>In Progress</v>
      </c>
      <c r="M158" s="3" t="str">
        <f t="shared" si="45"/>
        <v>Pending</v>
      </c>
      <c r="N158" s="3" t="str">
        <f t="shared" si="31"/>
        <v>In Progress</v>
      </c>
      <c r="P158" s="3">
        <f t="shared" si="32"/>
        <v>1</v>
      </c>
    </row>
    <row r="159" spans="1:16" x14ac:dyDescent="0.35">
      <c r="A159" s="3" t="str">
        <f t="shared" si="33"/>
        <v>PRJ158</v>
      </c>
      <c r="B159" s="8" t="str">
        <f t="shared" si="34"/>
        <v>River View Care Hospital 158</v>
      </c>
      <c r="C159" s="3" t="str">
        <f t="shared" si="35"/>
        <v>Central Kerala</v>
      </c>
      <c r="D159" s="3" t="str">
        <f t="shared" si="36"/>
        <v>Thrissur</v>
      </c>
      <c r="E159" s="3" t="str">
        <f t="shared" si="37"/>
        <v>Apartment</v>
      </c>
      <c r="F159" s="4">
        <f t="shared" si="38"/>
        <v>21</v>
      </c>
      <c r="G159" s="6">
        <f t="shared" si="39"/>
        <v>46152</v>
      </c>
      <c r="H159" s="6">
        <f t="shared" si="40"/>
        <v>46302</v>
      </c>
      <c r="I159" s="6">
        <f t="shared" si="41"/>
        <v>46309</v>
      </c>
      <c r="J159" s="3">
        <f t="shared" si="42"/>
        <v>7</v>
      </c>
      <c r="K159" s="3" t="str">
        <f t="shared" si="43"/>
        <v>Material Delivered</v>
      </c>
      <c r="L159" s="3" t="str">
        <f t="shared" si="44"/>
        <v>In Progress</v>
      </c>
      <c r="M159" s="3" t="str">
        <f t="shared" si="45"/>
        <v>Pending</v>
      </c>
      <c r="N159" s="3" t="str">
        <f t="shared" si="31"/>
        <v>Delayed</v>
      </c>
      <c r="P159" s="3">
        <f t="shared" si="32"/>
        <v>1</v>
      </c>
    </row>
    <row r="160" spans="1:16" x14ac:dyDescent="0.35">
      <c r="A160" s="3" t="str">
        <f t="shared" si="33"/>
        <v>PRJ159</v>
      </c>
      <c r="B160" s="8" t="str">
        <f t="shared" si="34"/>
        <v>Golden Gate Care Hospital 159</v>
      </c>
      <c r="C160" s="3" t="str">
        <f t="shared" si="35"/>
        <v>South Kerala</v>
      </c>
      <c r="D160" s="3" t="str">
        <f t="shared" si="36"/>
        <v>Pathanamthitta</v>
      </c>
      <c r="E160" s="3" t="str">
        <f t="shared" si="37"/>
        <v>Hospital</v>
      </c>
      <c r="F160" s="4">
        <f t="shared" si="38"/>
        <v>48</v>
      </c>
      <c r="G160" s="6">
        <f t="shared" si="39"/>
        <v>46159</v>
      </c>
      <c r="H160" s="6">
        <f t="shared" si="40"/>
        <v>46339</v>
      </c>
      <c r="I160" s="6">
        <f t="shared" si="41"/>
        <v>46337</v>
      </c>
      <c r="J160" s="3">
        <f t="shared" si="42"/>
        <v>-2</v>
      </c>
      <c r="K160" s="3" t="str">
        <f t="shared" si="43"/>
        <v>Installation Started</v>
      </c>
      <c r="L160" s="3" t="str">
        <f t="shared" si="44"/>
        <v>In Progress</v>
      </c>
      <c r="M160" s="3" t="str">
        <f t="shared" si="45"/>
        <v>Pending</v>
      </c>
      <c r="N160" s="3" t="str">
        <f t="shared" si="31"/>
        <v>Early</v>
      </c>
      <c r="P160" s="3">
        <f t="shared" si="32"/>
        <v>1</v>
      </c>
    </row>
    <row r="161" spans="1:16" x14ac:dyDescent="0.35">
      <c r="A161" s="3" t="str">
        <f t="shared" si="33"/>
        <v>PRJ160</v>
      </c>
      <c r="B161" s="8" t="str">
        <f t="shared" si="34"/>
        <v>Emerald Care Hospital 160</v>
      </c>
      <c r="C161" s="3" t="str">
        <f t="shared" si="35"/>
        <v>North Kerala</v>
      </c>
      <c r="D161" s="3" t="str">
        <f t="shared" si="36"/>
        <v>Kasaragod</v>
      </c>
      <c r="E161" s="3" t="str">
        <f t="shared" si="37"/>
        <v>Office</v>
      </c>
      <c r="F161" s="4">
        <f t="shared" si="38"/>
        <v>32</v>
      </c>
      <c r="G161" s="6">
        <f t="shared" si="39"/>
        <v>46166</v>
      </c>
      <c r="H161" s="6">
        <f t="shared" si="40"/>
        <v>46376</v>
      </c>
      <c r="I161" s="6">
        <f t="shared" si="41"/>
        <v>46386</v>
      </c>
      <c r="J161" s="3">
        <f t="shared" si="42"/>
        <v>10</v>
      </c>
      <c r="K161" s="3" t="str">
        <f t="shared" si="43"/>
        <v>Mechanical Completion</v>
      </c>
      <c r="L161" s="3" t="str">
        <f t="shared" si="44"/>
        <v>In Progress</v>
      </c>
      <c r="M161" s="3" t="str">
        <f t="shared" si="45"/>
        <v>Pending</v>
      </c>
      <c r="N161" s="3" t="str">
        <f t="shared" si="31"/>
        <v>Delayed</v>
      </c>
      <c r="P161" s="3">
        <f t="shared" si="32"/>
        <v>1</v>
      </c>
    </row>
    <row r="162" spans="1:16" x14ac:dyDescent="0.35">
      <c r="A162" s="3" t="str">
        <f t="shared" si="33"/>
        <v>PRJ161</v>
      </c>
      <c r="B162" s="8" t="str">
        <f t="shared" si="34"/>
        <v>Green Valley Residency 161</v>
      </c>
      <c r="C162" s="3" t="str">
        <f t="shared" si="35"/>
        <v>Central Kerala</v>
      </c>
      <c r="D162" s="3" t="str">
        <f t="shared" si="36"/>
        <v>Idukki</v>
      </c>
      <c r="E162" s="3" t="str">
        <f t="shared" si="37"/>
        <v>Hotel</v>
      </c>
      <c r="F162" s="4">
        <f t="shared" si="38"/>
        <v>18</v>
      </c>
      <c r="G162" s="6">
        <f t="shared" si="39"/>
        <v>46173</v>
      </c>
      <c r="H162" s="6">
        <f t="shared" si="40"/>
        <v>46263</v>
      </c>
      <c r="I162" s="6" t="str">
        <f t="shared" si="41"/>
        <v/>
      </c>
      <c r="J162" s="3" t="str">
        <f t="shared" si="42"/>
        <v/>
      </c>
      <c r="K162" s="3" t="str">
        <f t="shared" si="43"/>
        <v>Testing &amp; Commissioning</v>
      </c>
      <c r="L162" s="3" t="str">
        <f t="shared" si="44"/>
        <v>In Progress</v>
      </c>
      <c r="M162" s="3" t="str">
        <f t="shared" si="45"/>
        <v>Pending</v>
      </c>
      <c r="N162" s="3" t="str">
        <f t="shared" si="31"/>
        <v>In Progress</v>
      </c>
      <c r="P162" s="3">
        <f t="shared" si="32"/>
        <v>1</v>
      </c>
    </row>
    <row r="163" spans="1:16" x14ac:dyDescent="0.35">
      <c r="A163" s="3" t="str">
        <f t="shared" si="33"/>
        <v>PRJ162</v>
      </c>
      <c r="B163" s="8" t="str">
        <f t="shared" si="34"/>
        <v>Royal Palm Residency 162</v>
      </c>
      <c r="C163" s="3" t="str">
        <f t="shared" si="35"/>
        <v>South Kerala</v>
      </c>
      <c r="D163" s="3" t="str">
        <f t="shared" si="36"/>
        <v>Kollam</v>
      </c>
      <c r="E163" s="3" t="str">
        <f t="shared" si="37"/>
        <v>Commercial</v>
      </c>
      <c r="F163" s="4">
        <f t="shared" si="38"/>
        <v>24</v>
      </c>
      <c r="G163" s="6">
        <f t="shared" si="39"/>
        <v>46180</v>
      </c>
      <c r="H163" s="6">
        <f t="shared" si="40"/>
        <v>46300</v>
      </c>
      <c r="I163" s="6">
        <f t="shared" si="41"/>
        <v>46300</v>
      </c>
      <c r="J163" s="3">
        <f t="shared" si="42"/>
        <v>0</v>
      </c>
      <c r="K163" s="3" t="str">
        <f t="shared" si="43"/>
        <v>Handover</v>
      </c>
      <c r="L163" s="3" t="str">
        <f t="shared" si="44"/>
        <v>Completed</v>
      </c>
      <c r="M163" s="3" t="str">
        <f t="shared" si="45"/>
        <v>Completed</v>
      </c>
      <c r="N163" s="3" t="str">
        <f t="shared" si="31"/>
        <v>On Time</v>
      </c>
      <c r="P163" s="3">
        <f t="shared" si="32"/>
        <v>1</v>
      </c>
    </row>
    <row r="164" spans="1:16" x14ac:dyDescent="0.35">
      <c r="A164" s="3" t="str">
        <f t="shared" si="33"/>
        <v>PRJ163</v>
      </c>
      <c r="B164" s="8" t="str">
        <f t="shared" si="34"/>
        <v>Skyline Residency 163</v>
      </c>
      <c r="C164" s="3" t="str">
        <f t="shared" si="35"/>
        <v>North Kerala</v>
      </c>
      <c r="D164" s="3" t="str">
        <f t="shared" si="36"/>
        <v>Wayanad</v>
      </c>
      <c r="E164" s="3" t="str">
        <f t="shared" si="37"/>
        <v>Residential</v>
      </c>
      <c r="F164" s="4">
        <f t="shared" si="38"/>
        <v>42</v>
      </c>
      <c r="G164" s="6">
        <f t="shared" si="39"/>
        <v>46187</v>
      </c>
      <c r="H164" s="6">
        <f t="shared" si="40"/>
        <v>46337</v>
      </c>
      <c r="I164" s="6">
        <f t="shared" si="41"/>
        <v>46344</v>
      </c>
      <c r="J164" s="3">
        <f t="shared" si="42"/>
        <v>7</v>
      </c>
      <c r="K164" s="3" t="str">
        <f t="shared" si="43"/>
        <v>Material Ordered</v>
      </c>
      <c r="L164" s="3" t="str">
        <f t="shared" si="44"/>
        <v>In Progress</v>
      </c>
      <c r="M164" s="3" t="str">
        <f t="shared" si="45"/>
        <v>Pending</v>
      </c>
      <c r="N164" s="3" t="str">
        <f t="shared" si="31"/>
        <v>Delayed</v>
      </c>
      <c r="P164" s="3">
        <f t="shared" si="32"/>
        <v>1</v>
      </c>
    </row>
    <row r="165" spans="1:16" x14ac:dyDescent="0.35">
      <c r="A165" s="3" t="str">
        <f t="shared" si="33"/>
        <v>PRJ164</v>
      </c>
      <c r="B165" s="8" t="str">
        <f t="shared" si="34"/>
        <v>Harmony Residency 164</v>
      </c>
      <c r="C165" s="3" t="str">
        <f t="shared" si="35"/>
        <v>Central Kerala</v>
      </c>
      <c r="D165" s="3" t="str">
        <f t="shared" si="36"/>
        <v>Thrissur</v>
      </c>
      <c r="E165" s="3" t="str">
        <f t="shared" si="37"/>
        <v>Apartment</v>
      </c>
      <c r="F165" s="4">
        <f t="shared" si="38"/>
        <v>65</v>
      </c>
      <c r="G165" s="6">
        <f t="shared" si="39"/>
        <v>46194</v>
      </c>
      <c r="H165" s="6">
        <f t="shared" si="40"/>
        <v>46374</v>
      </c>
      <c r="I165" s="6">
        <f t="shared" si="41"/>
        <v>46372</v>
      </c>
      <c r="J165" s="3">
        <f t="shared" si="42"/>
        <v>-2</v>
      </c>
      <c r="K165" s="3" t="str">
        <f t="shared" si="43"/>
        <v>Material Delivered</v>
      </c>
      <c r="L165" s="3" t="str">
        <f t="shared" si="44"/>
        <v>In Progress</v>
      </c>
      <c r="M165" s="3" t="str">
        <f t="shared" si="45"/>
        <v>Pending</v>
      </c>
      <c r="N165" s="3" t="str">
        <f t="shared" si="31"/>
        <v>Early</v>
      </c>
      <c r="P165" s="3">
        <f t="shared" si="32"/>
        <v>1</v>
      </c>
    </row>
    <row r="166" spans="1:16" x14ac:dyDescent="0.35">
      <c r="A166" s="3" t="str">
        <f t="shared" si="33"/>
        <v>PRJ165</v>
      </c>
      <c r="B166" s="8" t="str">
        <f t="shared" si="34"/>
        <v>Lakeside Residency 165</v>
      </c>
      <c r="C166" s="3" t="str">
        <f t="shared" si="35"/>
        <v>South Kerala</v>
      </c>
      <c r="D166" s="3" t="str">
        <f t="shared" si="36"/>
        <v>Trivandrum</v>
      </c>
      <c r="E166" s="3" t="str">
        <f t="shared" si="37"/>
        <v>Hospital</v>
      </c>
      <c r="F166" s="4">
        <f t="shared" si="38"/>
        <v>38</v>
      </c>
      <c r="G166" s="6">
        <f t="shared" si="39"/>
        <v>46201</v>
      </c>
      <c r="H166" s="6">
        <f t="shared" si="40"/>
        <v>46411</v>
      </c>
      <c r="I166" s="6" t="str">
        <f t="shared" si="41"/>
        <v/>
      </c>
      <c r="J166" s="3" t="str">
        <f t="shared" si="42"/>
        <v/>
      </c>
      <c r="K166" s="3" t="str">
        <f t="shared" si="43"/>
        <v>Installation Started</v>
      </c>
      <c r="L166" s="3" t="str">
        <f t="shared" si="44"/>
        <v>In Progress</v>
      </c>
      <c r="M166" s="3" t="str">
        <f t="shared" si="45"/>
        <v>Pending</v>
      </c>
      <c r="N166" s="3" t="str">
        <f t="shared" si="31"/>
        <v>In Progress</v>
      </c>
      <c r="P166" s="3">
        <f t="shared" si="32"/>
        <v>1</v>
      </c>
    </row>
    <row r="167" spans="1:16" x14ac:dyDescent="0.35">
      <c r="A167" s="3" t="str">
        <f t="shared" si="33"/>
        <v>PRJ166</v>
      </c>
      <c r="B167" s="8" t="str">
        <f t="shared" si="34"/>
        <v>Sunrise Residency 166</v>
      </c>
      <c r="C167" s="3" t="str">
        <f t="shared" si="35"/>
        <v>North Kerala</v>
      </c>
      <c r="D167" s="3" t="str">
        <f t="shared" si="36"/>
        <v>Kozhikode</v>
      </c>
      <c r="E167" s="3" t="str">
        <f t="shared" si="37"/>
        <v>Office</v>
      </c>
      <c r="F167" s="4">
        <f t="shared" si="38"/>
        <v>55</v>
      </c>
      <c r="G167" s="6">
        <f t="shared" si="39"/>
        <v>46028</v>
      </c>
      <c r="H167" s="6">
        <f t="shared" si="40"/>
        <v>46118</v>
      </c>
      <c r="I167" s="6">
        <f t="shared" si="41"/>
        <v>46113</v>
      </c>
      <c r="J167" s="3">
        <f t="shared" si="42"/>
        <v>-5</v>
      </c>
      <c r="K167" s="3" t="str">
        <f t="shared" si="43"/>
        <v>Mechanical Completion</v>
      </c>
      <c r="L167" s="3" t="str">
        <f t="shared" si="44"/>
        <v>In Progress</v>
      </c>
      <c r="M167" s="3" t="str">
        <f t="shared" si="45"/>
        <v>Pending</v>
      </c>
      <c r="N167" s="3" t="str">
        <f t="shared" si="31"/>
        <v>Early</v>
      </c>
      <c r="P167" s="3">
        <f t="shared" si="32"/>
        <v>1</v>
      </c>
    </row>
    <row r="168" spans="1:16" x14ac:dyDescent="0.35">
      <c r="A168" s="3" t="str">
        <f t="shared" si="33"/>
        <v>PRJ167</v>
      </c>
      <c r="B168" s="8" t="str">
        <f t="shared" si="34"/>
        <v>Silver Oak Residency 167</v>
      </c>
      <c r="C168" s="3" t="str">
        <f t="shared" si="35"/>
        <v>Central Kerala</v>
      </c>
      <c r="D168" s="3" t="str">
        <f t="shared" si="36"/>
        <v>Idukki</v>
      </c>
      <c r="E168" s="3" t="str">
        <f t="shared" si="37"/>
        <v>Hotel</v>
      </c>
      <c r="F168" s="4">
        <f t="shared" si="38"/>
        <v>27</v>
      </c>
      <c r="G168" s="6">
        <f t="shared" si="39"/>
        <v>46035</v>
      </c>
      <c r="H168" s="6">
        <f t="shared" si="40"/>
        <v>46155</v>
      </c>
      <c r="I168" s="6">
        <f t="shared" si="41"/>
        <v>46155</v>
      </c>
      <c r="J168" s="3">
        <f t="shared" si="42"/>
        <v>0</v>
      </c>
      <c r="K168" s="3" t="str">
        <f t="shared" si="43"/>
        <v>Testing &amp; Commissioning</v>
      </c>
      <c r="L168" s="3" t="str">
        <f t="shared" si="44"/>
        <v>In Progress</v>
      </c>
      <c r="M168" s="3" t="str">
        <f t="shared" si="45"/>
        <v>Pending</v>
      </c>
      <c r="N168" s="3" t="str">
        <f t="shared" si="31"/>
        <v>On Time</v>
      </c>
      <c r="P168" s="3">
        <f t="shared" si="32"/>
        <v>1</v>
      </c>
    </row>
    <row r="169" spans="1:16" x14ac:dyDescent="0.35">
      <c r="A169" s="3" t="str">
        <f t="shared" si="33"/>
        <v>PRJ168</v>
      </c>
      <c r="B169" s="8" t="str">
        <f t="shared" si="34"/>
        <v>River View Residency 168</v>
      </c>
      <c r="C169" s="3" t="str">
        <f t="shared" si="35"/>
        <v>South Kerala</v>
      </c>
      <c r="D169" s="3" t="str">
        <f t="shared" si="36"/>
        <v>Alappuzha</v>
      </c>
      <c r="E169" s="3" t="str">
        <f t="shared" si="37"/>
        <v>Commercial</v>
      </c>
      <c r="F169" s="4">
        <f t="shared" si="38"/>
        <v>21</v>
      </c>
      <c r="G169" s="6">
        <f t="shared" si="39"/>
        <v>46042</v>
      </c>
      <c r="H169" s="6">
        <f t="shared" si="40"/>
        <v>46192</v>
      </c>
      <c r="I169" s="6">
        <f t="shared" si="41"/>
        <v>46199</v>
      </c>
      <c r="J169" s="3">
        <f t="shared" si="42"/>
        <v>7</v>
      </c>
      <c r="K169" s="3" t="str">
        <f t="shared" si="43"/>
        <v>Handover</v>
      </c>
      <c r="L169" s="3" t="str">
        <f t="shared" si="44"/>
        <v>Completed</v>
      </c>
      <c r="M169" s="3" t="str">
        <f t="shared" si="45"/>
        <v>Completed</v>
      </c>
      <c r="N169" s="3" t="str">
        <f t="shared" si="31"/>
        <v>Delayed</v>
      </c>
      <c r="P169" s="3">
        <f t="shared" si="32"/>
        <v>1</v>
      </c>
    </row>
    <row r="170" spans="1:16" x14ac:dyDescent="0.35">
      <c r="A170" s="3" t="str">
        <f t="shared" si="33"/>
        <v>PRJ169</v>
      </c>
      <c r="B170" s="8" t="str">
        <f t="shared" si="34"/>
        <v>Golden Gate Residency 169</v>
      </c>
      <c r="C170" s="3" t="str">
        <f t="shared" si="35"/>
        <v>North Kerala</v>
      </c>
      <c r="D170" s="3" t="str">
        <f t="shared" si="36"/>
        <v>Kannur</v>
      </c>
      <c r="E170" s="3" t="str">
        <f t="shared" si="37"/>
        <v>Residential</v>
      </c>
      <c r="F170" s="4">
        <f t="shared" si="38"/>
        <v>48</v>
      </c>
      <c r="G170" s="6">
        <f t="shared" si="39"/>
        <v>46049</v>
      </c>
      <c r="H170" s="6">
        <f t="shared" si="40"/>
        <v>46229</v>
      </c>
      <c r="I170" s="6" t="str">
        <f t="shared" si="41"/>
        <v/>
      </c>
      <c r="J170" s="3" t="str">
        <f t="shared" si="42"/>
        <v/>
      </c>
      <c r="K170" s="3" t="str">
        <f t="shared" si="43"/>
        <v>Material Ordered</v>
      </c>
      <c r="L170" s="3" t="str">
        <f t="shared" si="44"/>
        <v>In Progress</v>
      </c>
      <c r="M170" s="3" t="str">
        <f t="shared" si="45"/>
        <v>Pending</v>
      </c>
      <c r="N170" s="3" t="str">
        <f t="shared" si="31"/>
        <v>In Progress</v>
      </c>
      <c r="P170" s="3">
        <f t="shared" si="32"/>
        <v>1</v>
      </c>
    </row>
    <row r="171" spans="1:16" x14ac:dyDescent="0.35">
      <c r="A171" s="3" t="str">
        <f t="shared" si="33"/>
        <v>PRJ170</v>
      </c>
      <c r="B171" s="8" t="str">
        <f t="shared" si="34"/>
        <v>Emerald Residency 170</v>
      </c>
      <c r="C171" s="3" t="str">
        <f t="shared" si="35"/>
        <v>Central Kerala</v>
      </c>
      <c r="D171" s="3" t="str">
        <f t="shared" si="36"/>
        <v>Thrissur</v>
      </c>
      <c r="E171" s="3" t="str">
        <f t="shared" si="37"/>
        <v>Apartment</v>
      </c>
      <c r="F171" s="4">
        <f t="shared" si="38"/>
        <v>32</v>
      </c>
      <c r="G171" s="6">
        <f t="shared" si="39"/>
        <v>46056</v>
      </c>
      <c r="H171" s="6">
        <f t="shared" si="40"/>
        <v>46266</v>
      </c>
      <c r="I171" s="6">
        <f t="shared" si="41"/>
        <v>46276</v>
      </c>
      <c r="J171" s="3">
        <f t="shared" si="42"/>
        <v>10</v>
      </c>
      <c r="K171" s="3" t="str">
        <f t="shared" si="43"/>
        <v>Material Delivered</v>
      </c>
      <c r="L171" s="3" t="str">
        <f t="shared" si="44"/>
        <v>In Progress</v>
      </c>
      <c r="M171" s="3" t="str">
        <f t="shared" si="45"/>
        <v>Pending</v>
      </c>
      <c r="N171" s="3" t="str">
        <f t="shared" si="31"/>
        <v>Delayed</v>
      </c>
      <c r="P171" s="3">
        <f t="shared" si="32"/>
        <v>1</v>
      </c>
    </row>
    <row r="172" spans="1:16" x14ac:dyDescent="0.35">
      <c r="A172" s="3" t="str">
        <f t="shared" si="33"/>
        <v>PRJ171</v>
      </c>
      <c r="B172" s="8" t="str">
        <f t="shared" si="34"/>
        <v>Green Valley Apartments 171</v>
      </c>
      <c r="C172" s="3" t="str">
        <f t="shared" si="35"/>
        <v>South Kerala</v>
      </c>
      <c r="D172" s="3" t="str">
        <f t="shared" si="36"/>
        <v>Pathanamthitta</v>
      </c>
      <c r="E172" s="3" t="str">
        <f t="shared" si="37"/>
        <v>Hospital</v>
      </c>
      <c r="F172" s="4">
        <f t="shared" si="38"/>
        <v>18</v>
      </c>
      <c r="G172" s="6">
        <f t="shared" si="39"/>
        <v>46063</v>
      </c>
      <c r="H172" s="6">
        <f t="shared" si="40"/>
        <v>46153</v>
      </c>
      <c r="I172" s="6">
        <f t="shared" si="41"/>
        <v>46148</v>
      </c>
      <c r="J172" s="3">
        <f t="shared" si="42"/>
        <v>-5</v>
      </c>
      <c r="K172" s="3" t="str">
        <f t="shared" si="43"/>
        <v>Installation Started</v>
      </c>
      <c r="L172" s="3" t="str">
        <f t="shared" si="44"/>
        <v>In Progress</v>
      </c>
      <c r="M172" s="3" t="str">
        <f t="shared" si="45"/>
        <v>Pending</v>
      </c>
      <c r="N172" s="3" t="str">
        <f t="shared" si="31"/>
        <v>Early</v>
      </c>
      <c r="P172" s="3">
        <f t="shared" si="32"/>
        <v>1</v>
      </c>
    </row>
    <row r="173" spans="1:16" x14ac:dyDescent="0.35">
      <c r="A173" s="3" t="str">
        <f t="shared" si="33"/>
        <v>PRJ172</v>
      </c>
      <c r="B173" s="8" t="str">
        <f t="shared" si="34"/>
        <v>Royal Palm Apartments 172</v>
      </c>
      <c r="C173" s="3" t="str">
        <f t="shared" si="35"/>
        <v>North Kerala</v>
      </c>
      <c r="D173" s="3" t="str">
        <f t="shared" si="36"/>
        <v>Kasaragod</v>
      </c>
      <c r="E173" s="3" t="str">
        <f t="shared" si="37"/>
        <v>Office</v>
      </c>
      <c r="F173" s="4">
        <f t="shared" si="38"/>
        <v>24</v>
      </c>
      <c r="G173" s="6">
        <f t="shared" si="39"/>
        <v>46070</v>
      </c>
      <c r="H173" s="6">
        <f t="shared" si="40"/>
        <v>46190</v>
      </c>
      <c r="I173" s="6">
        <f t="shared" si="41"/>
        <v>46190</v>
      </c>
      <c r="J173" s="3">
        <f t="shared" si="42"/>
        <v>0</v>
      </c>
      <c r="K173" s="3" t="str">
        <f t="shared" si="43"/>
        <v>Mechanical Completion</v>
      </c>
      <c r="L173" s="3" t="str">
        <f t="shared" si="44"/>
        <v>In Progress</v>
      </c>
      <c r="M173" s="3" t="str">
        <f t="shared" si="45"/>
        <v>Pending</v>
      </c>
      <c r="N173" s="3" t="str">
        <f t="shared" si="31"/>
        <v>On Time</v>
      </c>
      <c r="P173" s="3">
        <f t="shared" si="32"/>
        <v>1</v>
      </c>
    </row>
    <row r="174" spans="1:16" x14ac:dyDescent="0.35">
      <c r="A174" s="3" t="str">
        <f t="shared" si="33"/>
        <v>PRJ173</v>
      </c>
      <c r="B174" s="8" t="str">
        <f t="shared" si="34"/>
        <v>Skyline Apartments 173</v>
      </c>
      <c r="C174" s="3" t="str">
        <f t="shared" si="35"/>
        <v>Central Kerala</v>
      </c>
      <c r="D174" s="3" t="str">
        <f t="shared" si="36"/>
        <v>Idukki</v>
      </c>
      <c r="E174" s="3" t="str">
        <f t="shared" si="37"/>
        <v>Hotel</v>
      </c>
      <c r="F174" s="4">
        <f t="shared" si="38"/>
        <v>42</v>
      </c>
      <c r="G174" s="6">
        <f t="shared" si="39"/>
        <v>46077</v>
      </c>
      <c r="H174" s="6">
        <f t="shared" si="40"/>
        <v>46227</v>
      </c>
      <c r="I174" s="6" t="str">
        <f t="shared" si="41"/>
        <v/>
      </c>
      <c r="J174" s="3" t="str">
        <f t="shared" si="42"/>
        <v/>
      </c>
      <c r="K174" s="3" t="str">
        <f t="shared" si="43"/>
        <v>Testing &amp; Commissioning</v>
      </c>
      <c r="L174" s="3" t="str">
        <f t="shared" si="44"/>
        <v>In Progress</v>
      </c>
      <c r="M174" s="3" t="str">
        <f t="shared" si="45"/>
        <v>Pending</v>
      </c>
      <c r="N174" s="3" t="str">
        <f t="shared" si="31"/>
        <v>In Progress</v>
      </c>
      <c r="P174" s="3">
        <f t="shared" si="32"/>
        <v>1</v>
      </c>
    </row>
    <row r="175" spans="1:16" x14ac:dyDescent="0.35">
      <c r="A175" s="3" t="str">
        <f t="shared" si="33"/>
        <v>PRJ174</v>
      </c>
      <c r="B175" s="8" t="str">
        <f t="shared" si="34"/>
        <v>Harmony Apartments 174</v>
      </c>
      <c r="C175" s="3" t="str">
        <f t="shared" si="35"/>
        <v>South Kerala</v>
      </c>
      <c r="D175" s="3" t="str">
        <f t="shared" si="36"/>
        <v>Kollam</v>
      </c>
      <c r="E175" s="3" t="str">
        <f t="shared" si="37"/>
        <v>Commercial</v>
      </c>
      <c r="F175" s="4">
        <f t="shared" si="38"/>
        <v>65</v>
      </c>
      <c r="G175" s="6">
        <f t="shared" si="39"/>
        <v>46084</v>
      </c>
      <c r="H175" s="6">
        <f t="shared" si="40"/>
        <v>46264</v>
      </c>
      <c r="I175" s="6">
        <f t="shared" si="41"/>
        <v>46262</v>
      </c>
      <c r="J175" s="3">
        <f t="shared" si="42"/>
        <v>-2</v>
      </c>
      <c r="K175" s="3" t="str">
        <f t="shared" si="43"/>
        <v>Handover</v>
      </c>
      <c r="L175" s="3" t="str">
        <f t="shared" si="44"/>
        <v>Completed</v>
      </c>
      <c r="M175" s="3" t="str">
        <f t="shared" si="45"/>
        <v>Completed</v>
      </c>
      <c r="N175" s="3" t="str">
        <f t="shared" si="31"/>
        <v>Early</v>
      </c>
      <c r="P175" s="3">
        <f t="shared" si="32"/>
        <v>1</v>
      </c>
    </row>
    <row r="176" spans="1:16" x14ac:dyDescent="0.35">
      <c r="A176" s="3" t="str">
        <f t="shared" si="33"/>
        <v>PRJ175</v>
      </c>
      <c r="B176" s="8" t="str">
        <f t="shared" si="34"/>
        <v>Lakeside Apartments 175</v>
      </c>
      <c r="C176" s="3" t="str">
        <f t="shared" si="35"/>
        <v>North Kerala</v>
      </c>
      <c r="D176" s="3" t="str">
        <f t="shared" si="36"/>
        <v>Wayanad</v>
      </c>
      <c r="E176" s="3" t="str">
        <f t="shared" si="37"/>
        <v>Residential</v>
      </c>
      <c r="F176" s="4">
        <f t="shared" si="38"/>
        <v>38</v>
      </c>
      <c r="G176" s="6">
        <f t="shared" si="39"/>
        <v>46091</v>
      </c>
      <c r="H176" s="6">
        <f t="shared" si="40"/>
        <v>46301</v>
      </c>
      <c r="I176" s="6">
        <f t="shared" si="41"/>
        <v>46311</v>
      </c>
      <c r="J176" s="3">
        <f t="shared" si="42"/>
        <v>10</v>
      </c>
      <c r="K176" s="3" t="str">
        <f t="shared" si="43"/>
        <v>Material Ordered</v>
      </c>
      <c r="L176" s="3" t="str">
        <f t="shared" si="44"/>
        <v>In Progress</v>
      </c>
      <c r="M176" s="3" t="str">
        <f t="shared" si="45"/>
        <v>Pending</v>
      </c>
      <c r="N176" s="3" t="str">
        <f t="shared" si="31"/>
        <v>Delayed</v>
      </c>
      <c r="P176" s="3">
        <f t="shared" si="32"/>
        <v>1</v>
      </c>
    </row>
    <row r="177" spans="1:16" x14ac:dyDescent="0.35">
      <c r="A177" s="3" t="str">
        <f t="shared" si="33"/>
        <v>PRJ176</v>
      </c>
      <c r="B177" s="8" t="str">
        <f t="shared" si="34"/>
        <v>Sunrise Apartments 176</v>
      </c>
      <c r="C177" s="3" t="str">
        <f t="shared" si="35"/>
        <v>Central Kerala</v>
      </c>
      <c r="D177" s="3" t="str">
        <f t="shared" si="36"/>
        <v>Thrissur</v>
      </c>
      <c r="E177" s="3" t="str">
        <f t="shared" si="37"/>
        <v>Apartment</v>
      </c>
      <c r="F177" s="4">
        <f t="shared" si="38"/>
        <v>55</v>
      </c>
      <c r="G177" s="6">
        <f t="shared" si="39"/>
        <v>46098</v>
      </c>
      <c r="H177" s="6">
        <f t="shared" si="40"/>
        <v>46188</v>
      </c>
      <c r="I177" s="6">
        <f t="shared" si="41"/>
        <v>46183</v>
      </c>
      <c r="J177" s="3">
        <f t="shared" si="42"/>
        <v>-5</v>
      </c>
      <c r="K177" s="3" t="str">
        <f t="shared" si="43"/>
        <v>Material Delivered</v>
      </c>
      <c r="L177" s="3" t="str">
        <f t="shared" si="44"/>
        <v>In Progress</v>
      </c>
      <c r="M177" s="3" t="str">
        <f t="shared" si="45"/>
        <v>Pending</v>
      </c>
      <c r="N177" s="3" t="str">
        <f t="shared" si="31"/>
        <v>Early</v>
      </c>
      <c r="P177" s="3">
        <f t="shared" si="32"/>
        <v>1</v>
      </c>
    </row>
    <row r="178" spans="1:16" x14ac:dyDescent="0.35">
      <c r="A178" s="3" t="str">
        <f t="shared" si="33"/>
        <v>PRJ177</v>
      </c>
      <c r="B178" s="8" t="str">
        <f t="shared" si="34"/>
        <v>Silver Oak Apartments 177</v>
      </c>
      <c r="C178" s="3" t="str">
        <f t="shared" si="35"/>
        <v>South Kerala</v>
      </c>
      <c r="D178" s="3" t="str">
        <f t="shared" si="36"/>
        <v>Trivandrum</v>
      </c>
      <c r="E178" s="3" t="str">
        <f t="shared" si="37"/>
        <v>Hospital</v>
      </c>
      <c r="F178" s="4">
        <f t="shared" si="38"/>
        <v>27</v>
      </c>
      <c r="G178" s="6">
        <f t="shared" si="39"/>
        <v>46105</v>
      </c>
      <c r="H178" s="6">
        <f t="shared" si="40"/>
        <v>46225</v>
      </c>
      <c r="I178" s="6" t="str">
        <f t="shared" si="41"/>
        <v/>
      </c>
      <c r="J178" s="3" t="str">
        <f t="shared" si="42"/>
        <v/>
      </c>
      <c r="K178" s="3" t="str">
        <f t="shared" si="43"/>
        <v>Installation Started</v>
      </c>
      <c r="L178" s="3" t="str">
        <f t="shared" si="44"/>
        <v>In Progress</v>
      </c>
      <c r="M178" s="3" t="str">
        <f t="shared" si="45"/>
        <v>Pending</v>
      </c>
      <c r="N178" s="3" t="str">
        <f t="shared" si="31"/>
        <v>In Progress</v>
      </c>
      <c r="P178" s="3">
        <f t="shared" si="32"/>
        <v>1</v>
      </c>
    </row>
    <row r="179" spans="1:16" x14ac:dyDescent="0.35">
      <c r="A179" s="3" t="str">
        <f t="shared" si="33"/>
        <v>PRJ178</v>
      </c>
      <c r="B179" s="8" t="str">
        <f t="shared" si="34"/>
        <v>River View Apartments 178</v>
      </c>
      <c r="C179" s="3" t="str">
        <f t="shared" si="35"/>
        <v>North Kerala</v>
      </c>
      <c r="D179" s="3" t="str">
        <f t="shared" si="36"/>
        <v>Kozhikode</v>
      </c>
      <c r="E179" s="3" t="str">
        <f t="shared" si="37"/>
        <v>Office</v>
      </c>
      <c r="F179" s="4">
        <f t="shared" si="38"/>
        <v>21</v>
      </c>
      <c r="G179" s="6">
        <f t="shared" si="39"/>
        <v>46112</v>
      </c>
      <c r="H179" s="6">
        <f t="shared" si="40"/>
        <v>46262</v>
      </c>
      <c r="I179" s="6">
        <f t="shared" si="41"/>
        <v>46269</v>
      </c>
      <c r="J179" s="3">
        <f t="shared" si="42"/>
        <v>7</v>
      </c>
      <c r="K179" s="3" t="str">
        <f t="shared" si="43"/>
        <v>Mechanical Completion</v>
      </c>
      <c r="L179" s="3" t="str">
        <f t="shared" si="44"/>
        <v>In Progress</v>
      </c>
      <c r="M179" s="3" t="str">
        <f t="shared" si="45"/>
        <v>Pending</v>
      </c>
      <c r="N179" s="3" t="str">
        <f t="shared" si="31"/>
        <v>Delayed</v>
      </c>
      <c r="P179" s="3">
        <f t="shared" si="32"/>
        <v>1</v>
      </c>
    </row>
    <row r="180" spans="1:16" x14ac:dyDescent="0.35">
      <c r="A180" s="3" t="str">
        <f t="shared" si="33"/>
        <v>PRJ179</v>
      </c>
      <c r="B180" s="8" t="str">
        <f t="shared" si="34"/>
        <v>Golden Gate Apartments 179</v>
      </c>
      <c r="C180" s="3" t="str">
        <f t="shared" si="35"/>
        <v>Central Kerala</v>
      </c>
      <c r="D180" s="3" t="str">
        <f t="shared" si="36"/>
        <v>Idukki</v>
      </c>
      <c r="E180" s="3" t="str">
        <f t="shared" si="37"/>
        <v>Hotel</v>
      </c>
      <c r="F180" s="4">
        <f t="shared" si="38"/>
        <v>48</v>
      </c>
      <c r="G180" s="6">
        <f t="shared" si="39"/>
        <v>46119</v>
      </c>
      <c r="H180" s="6">
        <f t="shared" si="40"/>
        <v>46299</v>
      </c>
      <c r="I180" s="6">
        <f t="shared" si="41"/>
        <v>46297</v>
      </c>
      <c r="J180" s="3">
        <f t="shared" si="42"/>
        <v>-2</v>
      </c>
      <c r="K180" s="3" t="str">
        <f t="shared" si="43"/>
        <v>Testing &amp; Commissioning</v>
      </c>
      <c r="L180" s="3" t="str">
        <f t="shared" si="44"/>
        <v>In Progress</v>
      </c>
      <c r="M180" s="3" t="str">
        <f t="shared" si="45"/>
        <v>Pending</v>
      </c>
      <c r="N180" s="3" t="str">
        <f t="shared" si="31"/>
        <v>Early</v>
      </c>
      <c r="P180" s="3">
        <f t="shared" si="32"/>
        <v>1</v>
      </c>
    </row>
    <row r="181" spans="1:16" x14ac:dyDescent="0.35">
      <c r="A181" s="3" t="str">
        <f t="shared" si="33"/>
        <v>PRJ180</v>
      </c>
      <c r="B181" s="8" t="str">
        <f t="shared" si="34"/>
        <v>Emerald Apartments 180</v>
      </c>
      <c r="C181" s="3" t="str">
        <f t="shared" si="35"/>
        <v>South Kerala</v>
      </c>
      <c r="D181" s="3" t="str">
        <f t="shared" si="36"/>
        <v>Alappuzha</v>
      </c>
      <c r="E181" s="3" t="str">
        <f t="shared" si="37"/>
        <v>Commercial</v>
      </c>
      <c r="F181" s="4">
        <f t="shared" si="38"/>
        <v>32</v>
      </c>
      <c r="G181" s="6">
        <f t="shared" si="39"/>
        <v>46126</v>
      </c>
      <c r="H181" s="6">
        <f t="shared" si="40"/>
        <v>46336</v>
      </c>
      <c r="I181" s="6">
        <f t="shared" si="41"/>
        <v>46346</v>
      </c>
      <c r="J181" s="3">
        <f t="shared" si="42"/>
        <v>10</v>
      </c>
      <c r="K181" s="3" t="str">
        <f t="shared" si="43"/>
        <v>Handover</v>
      </c>
      <c r="L181" s="3" t="str">
        <f t="shared" si="44"/>
        <v>Completed</v>
      </c>
      <c r="M181" s="3" t="str">
        <f t="shared" si="45"/>
        <v>Completed</v>
      </c>
      <c r="N181" s="3" t="str">
        <f t="shared" si="31"/>
        <v>Delayed</v>
      </c>
      <c r="P181" s="3">
        <f t="shared" si="32"/>
        <v>1</v>
      </c>
    </row>
    <row r="182" spans="1:16" x14ac:dyDescent="0.35">
      <c r="A182" s="3" t="str">
        <f t="shared" si="33"/>
        <v>PRJ181</v>
      </c>
      <c r="B182" s="8" t="str">
        <f t="shared" si="34"/>
        <v>Green Valley Heights 181</v>
      </c>
      <c r="C182" s="3" t="str">
        <f t="shared" si="35"/>
        <v>North Kerala</v>
      </c>
      <c r="D182" s="3" t="str">
        <f t="shared" si="36"/>
        <v>Kannur</v>
      </c>
      <c r="E182" s="3" t="str">
        <f t="shared" si="37"/>
        <v>Residential</v>
      </c>
      <c r="F182" s="4">
        <f t="shared" si="38"/>
        <v>18</v>
      </c>
      <c r="G182" s="6">
        <f t="shared" si="39"/>
        <v>46133</v>
      </c>
      <c r="H182" s="6">
        <f t="shared" si="40"/>
        <v>46223</v>
      </c>
      <c r="I182" s="6" t="str">
        <f t="shared" si="41"/>
        <v/>
      </c>
      <c r="J182" s="3" t="str">
        <f t="shared" si="42"/>
        <v/>
      </c>
      <c r="K182" s="3" t="str">
        <f t="shared" si="43"/>
        <v>Material Ordered</v>
      </c>
      <c r="L182" s="3" t="str">
        <f t="shared" si="44"/>
        <v>In Progress</v>
      </c>
      <c r="M182" s="3" t="str">
        <f t="shared" si="45"/>
        <v>Pending</v>
      </c>
      <c r="N182" s="3" t="str">
        <f t="shared" si="31"/>
        <v>In Progress</v>
      </c>
      <c r="P182" s="3">
        <f t="shared" si="32"/>
        <v>1</v>
      </c>
    </row>
    <row r="183" spans="1:16" x14ac:dyDescent="0.35">
      <c r="A183" s="3" t="str">
        <f t="shared" si="33"/>
        <v>PRJ182</v>
      </c>
      <c r="B183" s="8" t="str">
        <f t="shared" si="34"/>
        <v>Royal Palm Heights 182</v>
      </c>
      <c r="C183" s="3" t="str">
        <f t="shared" si="35"/>
        <v>Central Kerala</v>
      </c>
      <c r="D183" s="3" t="str">
        <f t="shared" si="36"/>
        <v>Thrissur</v>
      </c>
      <c r="E183" s="3" t="str">
        <f t="shared" si="37"/>
        <v>Apartment</v>
      </c>
      <c r="F183" s="4">
        <f t="shared" si="38"/>
        <v>24</v>
      </c>
      <c r="G183" s="6">
        <f t="shared" si="39"/>
        <v>46140</v>
      </c>
      <c r="H183" s="6">
        <f t="shared" si="40"/>
        <v>46260</v>
      </c>
      <c r="I183" s="6">
        <f t="shared" si="41"/>
        <v>46260</v>
      </c>
      <c r="J183" s="3">
        <f t="shared" si="42"/>
        <v>0</v>
      </c>
      <c r="K183" s="3" t="str">
        <f t="shared" si="43"/>
        <v>Material Delivered</v>
      </c>
      <c r="L183" s="3" t="str">
        <f t="shared" si="44"/>
        <v>In Progress</v>
      </c>
      <c r="M183" s="3" t="str">
        <f t="shared" si="45"/>
        <v>Pending</v>
      </c>
      <c r="N183" s="3" t="str">
        <f t="shared" si="31"/>
        <v>On Time</v>
      </c>
      <c r="P183" s="3">
        <f t="shared" si="32"/>
        <v>1</v>
      </c>
    </row>
    <row r="184" spans="1:16" x14ac:dyDescent="0.35">
      <c r="A184" s="3" t="str">
        <f t="shared" si="33"/>
        <v>PRJ183</v>
      </c>
      <c r="B184" s="8" t="str">
        <f t="shared" si="34"/>
        <v>Skyline Heights 183</v>
      </c>
      <c r="C184" s="3" t="str">
        <f t="shared" si="35"/>
        <v>South Kerala</v>
      </c>
      <c r="D184" s="3" t="str">
        <f t="shared" si="36"/>
        <v>Pathanamthitta</v>
      </c>
      <c r="E184" s="3" t="str">
        <f t="shared" si="37"/>
        <v>Hospital</v>
      </c>
      <c r="F184" s="4">
        <f t="shared" si="38"/>
        <v>42</v>
      </c>
      <c r="G184" s="6">
        <f t="shared" si="39"/>
        <v>46147</v>
      </c>
      <c r="H184" s="6">
        <f t="shared" si="40"/>
        <v>46297</v>
      </c>
      <c r="I184" s="6">
        <f t="shared" si="41"/>
        <v>46304</v>
      </c>
      <c r="J184" s="3">
        <f t="shared" si="42"/>
        <v>7</v>
      </c>
      <c r="K184" s="3" t="str">
        <f t="shared" si="43"/>
        <v>Installation Started</v>
      </c>
      <c r="L184" s="3" t="str">
        <f t="shared" si="44"/>
        <v>In Progress</v>
      </c>
      <c r="M184" s="3" t="str">
        <f t="shared" si="45"/>
        <v>Pending</v>
      </c>
      <c r="N184" s="3" t="str">
        <f t="shared" si="31"/>
        <v>Delayed</v>
      </c>
      <c r="P184" s="3">
        <f t="shared" si="32"/>
        <v>1</v>
      </c>
    </row>
    <row r="185" spans="1:16" x14ac:dyDescent="0.35">
      <c r="A185" s="3" t="str">
        <f t="shared" si="33"/>
        <v>PRJ184</v>
      </c>
      <c r="B185" s="8" t="str">
        <f t="shared" si="34"/>
        <v>Harmony Heights 184</v>
      </c>
      <c r="C185" s="3" t="str">
        <f t="shared" si="35"/>
        <v>North Kerala</v>
      </c>
      <c r="D185" s="3" t="str">
        <f t="shared" si="36"/>
        <v>Kasaragod</v>
      </c>
      <c r="E185" s="3" t="str">
        <f t="shared" si="37"/>
        <v>Office</v>
      </c>
      <c r="F185" s="4">
        <f t="shared" si="38"/>
        <v>65</v>
      </c>
      <c r="G185" s="6">
        <f t="shared" si="39"/>
        <v>46154</v>
      </c>
      <c r="H185" s="6">
        <f t="shared" si="40"/>
        <v>46334</v>
      </c>
      <c r="I185" s="6">
        <f t="shared" si="41"/>
        <v>46332</v>
      </c>
      <c r="J185" s="3">
        <f t="shared" si="42"/>
        <v>-2</v>
      </c>
      <c r="K185" s="3" t="str">
        <f t="shared" si="43"/>
        <v>Mechanical Completion</v>
      </c>
      <c r="L185" s="3" t="str">
        <f t="shared" si="44"/>
        <v>In Progress</v>
      </c>
      <c r="M185" s="3" t="str">
        <f t="shared" si="45"/>
        <v>Pending</v>
      </c>
      <c r="N185" s="3" t="str">
        <f t="shared" si="31"/>
        <v>Early</v>
      </c>
      <c r="P185" s="3">
        <f t="shared" si="32"/>
        <v>1</v>
      </c>
    </row>
    <row r="186" spans="1:16" x14ac:dyDescent="0.35">
      <c r="A186" s="3" t="str">
        <f t="shared" si="33"/>
        <v>PRJ185</v>
      </c>
      <c r="B186" s="8" t="str">
        <f t="shared" si="34"/>
        <v>Lakeside Heights 185</v>
      </c>
      <c r="C186" s="3" t="str">
        <f t="shared" si="35"/>
        <v>Central Kerala</v>
      </c>
      <c r="D186" s="3" t="str">
        <f t="shared" si="36"/>
        <v>Idukki</v>
      </c>
      <c r="E186" s="3" t="str">
        <f t="shared" si="37"/>
        <v>Hotel</v>
      </c>
      <c r="F186" s="4">
        <f t="shared" si="38"/>
        <v>38</v>
      </c>
      <c r="G186" s="6">
        <f t="shared" si="39"/>
        <v>46161</v>
      </c>
      <c r="H186" s="6">
        <f t="shared" si="40"/>
        <v>46371</v>
      </c>
      <c r="I186" s="6" t="str">
        <f t="shared" si="41"/>
        <v/>
      </c>
      <c r="J186" s="3" t="str">
        <f t="shared" si="42"/>
        <v/>
      </c>
      <c r="K186" s="3" t="str">
        <f t="shared" si="43"/>
        <v>Testing &amp; Commissioning</v>
      </c>
      <c r="L186" s="3" t="str">
        <f t="shared" si="44"/>
        <v>In Progress</v>
      </c>
      <c r="M186" s="3" t="str">
        <f t="shared" si="45"/>
        <v>Pending</v>
      </c>
      <c r="N186" s="3" t="str">
        <f t="shared" si="31"/>
        <v>In Progress</v>
      </c>
      <c r="P186" s="3">
        <f t="shared" si="32"/>
        <v>1</v>
      </c>
    </row>
    <row r="187" spans="1:16" x14ac:dyDescent="0.35">
      <c r="A187" s="3" t="str">
        <f t="shared" si="33"/>
        <v>PRJ186</v>
      </c>
      <c r="B187" s="8" t="str">
        <f t="shared" si="34"/>
        <v>Sunrise Heights 186</v>
      </c>
      <c r="C187" s="3" t="str">
        <f t="shared" si="35"/>
        <v>South Kerala</v>
      </c>
      <c r="D187" s="3" t="str">
        <f t="shared" si="36"/>
        <v>Kollam</v>
      </c>
      <c r="E187" s="3" t="str">
        <f t="shared" si="37"/>
        <v>Commercial</v>
      </c>
      <c r="F187" s="4">
        <f t="shared" si="38"/>
        <v>55</v>
      </c>
      <c r="G187" s="6">
        <f t="shared" si="39"/>
        <v>46168</v>
      </c>
      <c r="H187" s="6">
        <f t="shared" si="40"/>
        <v>46258</v>
      </c>
      <c r="I187" s="6">
        <f t="shared" si="41"/>
        <v>46253</v>
      </c>
      <c r="J187" s="3">
        <f t="shared" si="42"/>
        <v>-5</v>
      </c>
      <c r="K187" s="3" t="str">
        <f t="shared" si="43"/>
        <v>Handover</v>
      </c>
      <c r="L187" s="3" t="str">
        <f t="shared" si="44"/>
        <v>Completed</v>
      </c>
      <c r="M187" s="3" t="str">
        <f t="shared" si="45"/>
        <v>Completed</v>
      </c>
      <c r="N187" s="3" t="str">
        <f t="shared" si="31"/>
        <v>Early</v>
      </c>
      <c r="P187" s="3">
        <f t="shared" si="32"/>
        <v>1</v>
      </c>
    </row>
    <row r="188" spans="1:16" x14ac:dyDescent="0.35">
      <c r="A188" s="3" t="str">
        <f t="shared" si="33"/>
        <v>PRJ187</v>
      </c>
      <c r="B188" s="8" t="str">
        <f t="shared" si="34"/>
        <v>Silver Oak Heights 187</v>
      </c>
      <c r="C188" s="3" t="str">
        <f t="shared" si="35"/>
        <v>North Kerala</v>
      </c>
      <c r="D188" s="3" t="str">
        <f t="shared" si="36"/>
        <v>Wayanad</v>
      </c>
      <c r="E188" s="3" t="str">
        <f t="shared" si="37"/>
        <v>Residential</v>
      </c>
      <c r="F188" s="4">
        <f t="shared" si="38"/>
        <v>27</v>
      </c>
      <c r="G188" s="6">
        <f t="shared" si="39"/>
        <v>46175</v>
      </c>
      <c r="H188" s="6">
        <f t="shared" si="40"/>
        <v>46295</v>
      </c>
      <c r="I188" s="6">
        <f t="shared" si="41"/>
        <v>46295</v>
      </c>
      <c r="J188" s="3">
        <f t="shared" si="42"/>
        <v>0</v>
      </c>
      <c r="K188" s="3" t="str">
        <f t="shared" si="43"/>
        <v>Material Ordered</v>
      </c>
      <c r="L188" s="3" t="str">
        <f t="shared" si="44"/>
        <v>In Progress</v>
      </c>
      <c r="M188" s="3" t="str">
        <f t="shared" si="45"/>
        <v>Pending</v>
      </c>
      <c r="N188" s="3" t="str">
        <f t="shared" si="31"/>
        <v>On Time</v>
      </c>
      <c r="P188" s="3">
        <f t="shared" si="32"/>
        <v>1</v>
      </c>
    </row>
    <row r="189" spans="1:16" x14ac:dyDescent="0.35">
      <c r="A189" s="3" t="str">
        <f t="shared" si="33"/>
        <v>PRJ188</v>
      </c>
      <c r="B189" s="8" t="str">
        <f t="shared" si="34"/>
        <v>River View Heights 188</v>
      </c>
      <c r="C189" s="3" t="str">
        <f t="shared" si="35"/>
        <v>Central Kerala</v>
      </c>
      <c r="D189" s="3" t="str">
        <f t="shared" si="36"/>
        <v>Thrissur</v>
      </c>
      <c r="E189" s="3" t="str">
        <f t="shared" si="37"/>
        <v>Apartment</v>
      </c>
      <c r="F189" s="4">
        <f t="shared" si="38"/>
        <v>21</v>
      </c>
      <c r="G189" s="6">
        <f t="shared" si="39"/>
        <v>46182</v>
      </c>
      <c r="H189" s="6">
        <f t="shared" si="40"/>
        <v>46332</v>
      </c>
      <c r="I189" s="6">
        <f t="shared" si="41"/>
        <v>46339</v>
      </c>
      <c r="J189" s="3">
        <f t="shared" si="42"/>
        <v>7</v>
      </c>
      <c r="K189" s="3" t="str">
        <f t="shared" si="43"/>
        <v>Material Delivered</v>
      </c>
      <c r="L189" s="3" t="str">
        <f t="shared" si="44"/>
        <v>In Progress</v>
      </c>
      <c r="M189" s="3" t="str">
        <f t="shared" si="45"/>
        <v>Pending</v>
      </c>
      <c r="N189" s="3" t="str">
        <f t="shared" si="31"/>
        <v>Delayed</v>
      </c>
      <c r="P189" s="3">
        <f t="shared" si="32"/>
        <v>1</v>
      </c>
    </row>
    <row r="190" spans="1:16" x14ac:dyDescent="0.35">
      <c r="A190" s="3" t="str">
        <f t="shared" si="33"/>
        <v>PRJ189</v>
      </c>
      <c r="B190" s="8" t="str">
        <f t="shared" si="34"/>
        <v>Golden Gate Heights 189</v>
      </c>
      <c r="C190" s="3" t="str">
        <f t="shared" si="35"/>
        <v>South Kerala</v>
      </c>
      <c r="D190" s="3" t="str">
        <f t="shared" si="36"/>
        <v>Trivandrum</v>
      </c>
      <c r="E190" s="3" t="str">
        <f t="shared" si="37"/>
        <v>Hospital</v>
      </c>
      <c r="F190" s="4">
        <f t="shared" si="38"/>
        <v>48</v>
      </c>
      <c r="G190" s="6">
        <f t="shared" si="39"/>
        <v>46189</v>
      </c>
      <c r="H190" s="6">
        <f t="shared" si="40"/>
        <v>46369</v>
      </c>
      <c r="I190" s="6" t="str">
        <f t="shared" si="41"/>
        <v/>
      </c>
      <c r="J190" s="3" t="str">
        <f t="shared" si="42"/>
        <v/>
      </c>
      <c r="K190" s="3" t="str">
        <f t="shared" si="43"/>
        <v>Installation Started</v>
      </c>
      <c r="L190" s="3" t="str">
        <f t="shared" si="44"/>
        <v>In Progress</v>
      </c>
      <c r="M190" s="3" t="str">
        <f t="shared" si="45"/>
        <v>Pending</v>
      </c>
      <c r="N190" s="3" t="str">
        <f t="shared" si="31"/>
        <v>In Progress</v>
      </c>
      <c r="P190" s="3">
        <f t="shared" si="32"/>
        <v>1</v>
      </c>
    </row>
    <row r="191" spans="1:16" x14ac:dyDescent="0.35">
      <c r="A191" s="3" t="str">
        <f t="shared" si="33"/>
        <v>PRJ190</v>
      </c>
      <c r="B191" s="8" t="str">
        <f t="shared" si="34"/>
        <v>Emerald Heights 190</v>
      </c>
      <c r="C191" s="3" t="str">
        <f t="shared" si="35"/>
        <v>North Kerala</v>
      </c>
      <c r="D191" s="3" t="str">
        <f t="shared" si="36"/>
        <v>Kozhikode</v>
      </c>
      <c r="E191" s="3" t="str">
        <f t="shared" si="37"/>
        <v>Office</v>
      </c>
      <c r="F191" s="4">
        <f t="shared" si="38"/>
        <v>32</v>
      </c>
      <c r="G191" s="6">
        <f t="shared" si="39"/>
        <v>46196</v>
      </c>
      <c r="H191" s="6">
        <f t="shared" si="40"/>
        <v>46406</v>
      </c>
      <c r="I191" s="6">
        <f t="shared" si="41"/>
        <v>46416</v>
      </c>
      <c r="J191" s="3">
        <f t="shared" si="42"/>
        <v>10</v>
      </c>
      <c r="K191" s="3" t="str">
        <f t="shared" si="43"/>
        <v>Mechanical Completion</v>
      </c>
      <c r="L191" s="3" t="str">
        <f t="shared" si="44"/>
        <v>In Progress</v>
      </c>
      <c r="M191" s="3" t="str">
        <f t="shared" si="45"/>
        <v>Pending</v>
      </c>
      <c r="N191" s="3" t="str">
        <f t="shared" si="31"/>
        <v>Delayed</v>
      </c>
      <c r="P191" s="3">
        <f t="shared" si="32"/>
        <v>1</v>
      </c>
    </row>
    <row r="192" spans="1:16" x14ac:dyDescent="0.35">
      <c r="A192" s="3" t="str">
        <f t="shared" si="33"/>
        <v>PRJ191</v>
      </c>
      <c r="B192" s="8" t="str">
        <f t="shared" si="34"/>
        <v>Green Valley Towers 191</v>
      </c>
      <c r="C192" s="3" t="str">
        <f t="shared" si="35"/>
        <v>Central Kerala</v>
      </c>
      <c r="D192" s="3" t="str">
        <f t="shared" si="36"/>
        <v>Idukki</v>
      </c>
      <c r="E192" s="3" t="str">
        <f t="shared" si="37"/>
        <v>Hotel</v>
      </c>
      <c r="F192" s="4">
        <f t="shared" si="38"/>
        <v>18</v>
      </c>
      <c r="G192" s="6">
        <f t="shared" si="39"/>
        <v>46023</v>
      </c>
      <c r="H192" s="6">
        <f t="shared" si="40"/>
        <v>46113</v>
      </c>
      <c r="I192" s="6">
        <f t="shared" si="41"/>
        <v>46108</v>
      </c>
      <c r="J192" s="3">
        <f t="shared" si="42"/>
        <v>-5</v>
      </c>
      <c r="K192" s="3" t="str">
        <f t="shared" si="43"/>
        <v>Testing &amp; Commissioning</v>
      </c>
      <c r="L192" s="3" t="str">
        <f t="shared" si="44"/>
        <v>In Progress</v>
      </c>
      <c r="M192" s="3" t="str">
        <f t="shared" si="45"/>
        <v>Pending</v>
      </c>
      <c r="N192" s="3" t="str">
        <f t="shared" si="31"/>
        <v>Early</v>
      </c>
      <c r="P192" s="3">
        <f t="shared" si="32"/>
        <v>1</v>
      </c>
    </row>
    <row r="193" spans="1:16" x14ac:dyDescent="0.35">
      <c r="A193" s="3" t="str">
        <f t="shared" si="33"/>
        <v>PRJ192</v>
      </c>
      <c r="B193" s="8" t="str">
        <f t="shared" si="34"/>
        <v>Royal Palm Towers 192</v>
      </c>
      <c r="C193" s="3" t="str">
        <f t="shared" si="35"/>
        <v>South Kerala</v>
      </c>
      <c r="D193" s="3" t="str">
        <f t="shared" si="36"/>
        <v>Alappuzha</v>
      </c>
      <c r="E193" s="3" t="str">
        <f t="shared" si="37"/>
        <v>Commercial</v>
      </c>
      <c r="F193" s="4">
        <f t="shared" si="38"/>
        <v>24</v>
      </c>
      <c r="G193" s="6">
        <f t="shared" si="39"/>
        <v>46030</v>
      </c>
      <c r="H193" s="6">
        <f t="shared" si="40"/>
        <v>46150</v>
      </c>
      <c r="I193" s="6">
        <f t="shared" si="41"/>
        <v>46150</v>
      </c>
      <c r="J193" s="3">
        <f t="shared" si="42"/>
        <v>0</v>
      </c>
      <c r="K193" s="3" t="str">
        <f t="shared" si="43"/>
        <v>Handover</v>
      </c>
      <c r="L193" s="3" t="str">
        <f t="shared" si="44"/>
        <v>Completed</v>
      </c>
      <c r="M193" s="3" t="str">
        <f t="shared" si="45"/>
        <v>Completed</v>
      </c>
      <c r="N193" s="3" t="str">
        <f t="shared" si="31"/>
        <v>On Time</v>
      </c>
      <c r="P193" s="3">
        <f t="shared" si="32"/>
        <v>1</v>
      </c>
    </row>
    <row r="194" spans="1:16" x14ac:dyDescent="0.35">
      <c r="A194" s="3" t="str">
        <f t="shared" si="33"/>
        <v>PRJ193</v>
      </c>
      <c r="B194" s="8" t="str">
        <f t="shared" si="34"/>
        <v>Skyline Towers 193</v>
      </c>
      <c r="C194" s="3" t="str">
        <f t="shared" si="35"/>
        <v>North Kerala</v>
      </c>
      <c r="D194" s="3" t="str">
        <f t="shared" si="36"/>
        <v>Kannur</v>
      </c>
      <c r="E194" s="3" t="str">
        <f t="shared" si="37"/>
        <v>Residential</v>
      </c>
      <c r="F194" s="4">
        <f t="shared" si="38"/>
        <v>42</v>
      </c>
      <c r="G194" s="6">
        <f t="shared" si="39"/>
        <v>46037</v>
      </c>
      <c r="H194" s="6">
        <f t="shared" si="40"/>
        <v>46187</v>
      </c>
      <c r="I194" s="6" t="str">
        <f t="shared" si="41"/>
        <v/>
      </c>
      <c r="J194" s="3" t="str">
        <f t="shared" si="42"/>
        <v/>
      </c>
      <c r="K194" s="3" t="str">
        <f t="shared" si="43"/>
        <v>Material Ordered</v>
      </c>
      <c r="L194" s="3" t="str">
        <f t="shared" si="44"/>
        <v>In Progress</v>
      </c>
      <c r="M194" s="3" t="str">
        <f t="shared" si="45"/>
        <v>Pending</v>
      </c>
      <c r="N194" s="3" t="str">
        <f t="shared" ref="N194:N257" si="46">IF(I194="","In Progress",IF(J194&gt;0,"Delayed",IF(J194=0,"On Time","Early")))</f>
        <v>In Progress</v>
      </c>
      <c r="P194" s="3">
        <f t="shared" si="32"/>
        <v>1</v>
      </c>
    </row>
    <row r="195" spans="1:16" x14ac:dyDescent="0.35">
      <c r="A195" s="3" t="str">
        <f t="shared" si="33"/>
        <v>PRJ194</v>
      </c>
      <c r="B195" s="8" t="str">
        <f t="shared" si="34"/>
        <v>Harmony Towers 194</v>
      </c>
      <c r="C195" s="3" t="str">
        <f t="shared" si="35"/>
        <v>Central Kerala</v>
      </c>
      <c r="D195" s="3" t="str">
        <f t="shared" si="36"/>
        <v>Thrissur</v>
      </c>
      <c r="E195" s="3" t="str">
        <f t="shared" si="37"/>
        <v>Apartment</v>
      </c>
      <c r="F195" s="4">
        <f t="shared" si="38"/>
        <v>65</v>
      </c>
      <c r="G195" s="6">
        <f t="shared" si="39"/>
        <v>46044</v>
      </c>
      <c r="H195" s="6">
        <f t="shared" si="40"/>
        <v>46224</v>
      </c>
      <c r="I195" s="6">
        <f t="shared" si="41"/>
        <v>46222</v>
      </c>
      <c r="J195" s="3">
        <f t="shared" si="42"/>
        <v>-2</v>
      </c>
      <c r="K195" s="3" t="str">
        <f t="shared" si="43"/>
        <v>Material Delivered</v>
      </c>
      <c r="L195" s="3" t="str">
        <f t="shared" si="44"/>
        <v>In Progress</v>
      </c>
      <c r="M195" s="3" t="str">
        <f t="shared" si="45"/>
        <v>Pending</v>
      </c>
      <c r="N195" s="3" t="str">
        <f t="shared" si="46"/>
        <v>Early</v>
      </c>
      <c r="P195" s="3">
        <f t="shared" ref="P195:P258" si="47">COUNTIF($A$2:$A$306,A195)</f>
        <v>1</v>
      </c>
    </row>
    <row r="196" spans="1:16" x14ac:dyDescent="0.35">
      <c r="A196" s="3" t="str">
        <f t="shared" si="33"/>
        <v>PRJ195</v>
      </c>
      <c r="B196" s="8" t="str">
        <f t="shared" si="34"/>
        <v>Lakeside Towers 195</v>
      </c>
      <c r="C196" s="3" t="str">
        <f t="shared" si="35"/>
        <v>South Kerala</v>
      </c>
      <c r="D196" s="3" t="str">
        <f t="shared" si="36"/>
        <v>Pathanamthitta</v>
      </c>
      <c r="E196" s="3" t="str">
        <f t="shared" si="37"/>
        <v>Hospital</v>
      </c>
      <c r="F196" s="4">
        <f t="shared" si="38"/>
        <v>38</v>
      </c>
      <c r="G196" s="6">
        <f t="shared" si="39"/>
        <v>46051</v>
      </c>
      <c r="H196" s="6">
        <f t="shared" si="40"/>
        <v>46261</v>
      </c>
      <c r="I196" s="6">
        <f t="shared" si="41"/>
        <v>46271</v>
      </c>
      <c r="J196" s="3">
        <f t="shared" si="42"/>
        <v>10</v>
      </c>
      <c r="K196" s="3" t="str">
        <f t="shared" si="43"/>
        <v>Installation Started</v>
      </c>
      <c r="L196" s="3" t="str">
        <f t="shared" si="44"/>
        <v>In Progress</v>
      </c>
      <c r="M196" s="3" t="str">
        <f t="shared" si="45"/>
        <v>Pending</v>
      </c>
      <c r="N196" s="3" t="str">
        <f t="shared" si="46"/>
        <v>Delayed</v>
      </c>
      <c r="P196" s="3">
        <f t="shared" si="47"/>
        <v>1</v>
      </c>
    </row>
    <row r="197" spans="1:16" x14ac:dyDescent="0.35">
      <c r="A197" s="3" t="str">
        <f t="shared" si="33"/>
        <v>PRJ196</v>
      </c>
      <c r="B197" s="8" t="str">
        <f t="shared" si="34"/>
        <v>Sunrise Towers 196</v>
      </c>
      <c r="C197" s="3" t="str">
        <f t="shared" si="35"/>
        <v>North Kerala</v>
      </c>
      <c r="D197" s="3" t="str">
        <f t="shared" si="36"/>
        <v>Kasaragod</v>
      </c>
      <c r="E197" s="3" t="str">
        <f t="shared" si="37"/>
        <v>Office</v>
      </c>
      <c r="F197" s="4">
        <f t="shared" si="38"/>
        <v>55</v>
      </c>
      <c r="G197" s="6">
        <f t="shared" si="39"/>
        <v>46058</v>
      </c>
      <c r="H197" s="6">
        <f t="shared" si="40"/>
        <v>46148</v>
      </c>
      <c r="I197" s="6">
        <f t="shared" si="41"/>
        <v>46143</v>
      </c>
      <c r="J197" s="3">
        <f t="shared" si="42"/>
        <v>-5</v>
      </c>
      <c r="K197" s="3" t="str">
        <f t="shared" si="43"/>
        <v>Mechanical Completion</v>
      </c>
      <c r="L197" s="3" t="str">
        <f t="shared" si="44"/>
        <v>In Progress</v>
      </c>
      <c r="M197" s="3" t="str">
        <f t="shared" si="45"/>
        <v>Pending</v>
      </c>
      <c r="N197" s="3" t="str">
        <f t="shared" si="46"/>
        <v>Early</v>
      </c>
      <c r="P197" s="3">
        <f t="shared" si="47"/>
        <v>1</v>
      </c>
    </row>
    <row r="198" spans="1:16" x14ac:dyDescent="0.35">
      <c r="A198" s="3" t="str">
        <f t="shared" si="33"/>
        <v>PRJ197</v>
      </c>
      <c r="B198" s="8" t="str">
        <f t="shared" si="34"/>
        <v>Silver Oak Towers 197</v>
      </c>
      <c r="C198" s="3" t="str">
        <f t="shared" si="35"/>
        <v>Central Kerala</v>
      </c>
      <c r="D198" s="3" t="str">
        <f t="shared" si="36"/>
        <v>Idukki</v>
      </c>
      <c r="E198" s="3" t="str">
        <f t="shared" si="37"/>
        <v>Hotel</v>
      </c>
      <c r="F198" s="4">
        <f t="shared" si="38"/>
        <v>27</v>
      </c>
      <c r="G198" s="6">
        <f t="shared" si="39"/>
        <v>46065</v>
      </c>
      <c r="H198" s="6">
        <f t="shared" si="40"/>
        <v>46185</v>
      </c>
      <c r="I198" s="6" t="str">
        <f t="shared" si="41"/>
        <v/>
      </c>
      <c r="J198" s="3" t="str">
        <f t="shared" si="42"/>
        <v/>
      </c>
      <c r="K198" s="3" t="str">
        <f t="shared" si="43"/>
        <v>Testing &amp; Commissioning</v>
      </c>
      <c r="L198" s="3" t="str">
        <f t="shared" si="44"/>
        <v>In Progress</v>
      </c>
      <c r="M198" s="3" t="str">
        <f t="shared" si="45"/>
        <v>Pending</v>
      </c>
      <c r="N198" s="3" t="str">
        <f t="shared" si="46"/>
        <v>In Progress</v>
      </c>
      <c r="P198" s="3">
        <f t="shared" si="47"/>
        <v>1</v>
      </c>
    </row>
    <row r="199" spans="1:16" x14ac:dyDescent="0.35">
      <c r="A199" s="3" t="str">
        <f t="shared" si="33"/>
        <v>PRJ198</v>
      </c>
      <c r="B199" s="8" t="str">
        <f t="shared" si="34"/>
        <v>River View Towers 198</v>
      </c>
      <c r="C199" s="3" t="str">
        <f t="shared" si="35"/>
        <v>South Kerala</v>
      </c>
      <c r="D199" s="3" t="str">
        <f t="shared" si="36"/>
        <v>Kollam</v>
      </c>
      <c r="E199" s="3" t="str">
        <f t="shared" si="37"/>
        <v>Commercial</v>
      </c>
      <c r="F199" s="4">
        <f t="shared" si="38"/>
        <v>21</v>
      </c>
      <c r="G199" s="6">
        <f t="shared" si="39"/>
        <v>46072</v>
      </c>
      <c r="H199" s="6">
        <f t="shared" si="40"/>
        <v>46222</v>
      </c>
      <c r="I199" s="6">
        <f t="shared" si="41"/>
        <v>46229</v>
      </c>
      <c r="J199" s="3">
        <f t="shared" si="42"/>
        <v>7</v>
      </c>
      <c r="K199" s="3" t="str">
        <f t="shared" si="43"/>
        <v>Handover</v>
      </c>
      <c r="L199" s="3" t="str">
        <f t="shared" si="44"/>
        <v>Completed</v>
      </c>
      <c r="M199" s="3" t="str">
        <f t="shared" si="45"/>
        <v>Completed</v>
      </c>
      <c r="N199" s="3" t="str">
        <f t="shared" si="46"/>
        <v>Delayed</v>
      </c>
      <c r="P199" s="3">
        <f t="shared" si="47"/>
        <v>1</v>
      </c>
    </row>
    <row r="200" spans="1:16" x14ac:dyDescent="0.35">
      <c r="A200" s="3" t="str">
        <f t="shared" si="33"/>
        <v>PRJ199</v>
      </c>
      <c r="B200" s="8" t="str">
        <f t="shared" si="34"/>
        <v>Golden Gate Towers 199</v>
      </c>
      <c r="C200" s="3" t="str">
        <f t="shared" si="35"/>
        <v>North Kerala</v>
      </c>
      <c r="D200" s="3" t="str">
        <f t="shared" si="36"/>
        <v>Wayanad</v>
      </c>
      <c r="E200" s="3" t="str">
        <f t="shared" si="37"/>
        <v>Residential</v>
      </c>
      <c r="F200" s="4">
        <f t="shared" si="38"/>
        <v>48</v>
      </c>
      <c r="G200" s="6">
        <f t="shared" si="39"/>
        <v>46079</v>
      </c>
      <c r="H200" s="6">
        <f t="shared" si="40"/>
        <v>46259</v>
      </c>
      <c r="I200" s="6">
        <f t="shared" si="41"/>
        <v>46257</v>
      </c>
      <c r="J200" s="3">
        <f t="shared" si="42"/>
        <v>-2</v>
      </c>
      <c r="K200" s="3" t="str">
        <f t="shared" si="43"/>
        <v>Material Ordered</v>
      </c>
      <c r="L200" s="3" t="str">
        <f t="shared" si="44"/>
        <v>In Progress</v>
      </c>
      <c r="M200" s="3" t="str">
        <f t="shared" si="45"/>
        <v>Pending</v>
      </c>
      <c r="N200" s="3" t="str">
        <f t="shared" si="46"/>
        <v>Early</v>
      </c>
      <c r="P200" s="3">
        <f t="shared" si="47"/>
        <v>1</v>
      </c>
    </row>
    <row r="201" spans="1:16" x14ac:dyDescent="0.35">
      <c r="A201" s="3" t="str">
        <f t="shared" si="33"/>
        <v>PRJ200</v>
      </c>
      <c r="B201" s="8" t="str">
        <f t="shared" si="34"/>
        <v>Emerald Towers 200</v>
      </c>
      <c r="C201" s="3" t="str">
        <f t="shared" si="35"/>
        <v>Central Kerala</v>
      </c>
      <c r="D201" s="3" t="str">
        <f t="shared" si="36"/>
        <v>Thrissur</v>
      </c>
      <c r="E201" s="3" t="str">
        <f t="shared" si="37"/>
        <v>Apartment</v>
      </c>
      <c r="F201" s="4">
        <f t="shared" si="38"/>
        <v>32</v>
      </c>
      <c r="G201" s="6">
        <f t="shared" si="39"/>
        <v>46086</v>
      </c>
      <c r="H201" s="6">
        <f t="shared" si="40"/>
        <v>46296</v>
      </c>
      <c r="I201" s="6">
        <f t="shared" si="41"/>
        <v>46306</v>
      </c>
      <c r="J201" s="3">
        <f t="shared" si="42"/>
        <v>10</v>
      </c>
      <c r="K201" s="3" t="str">
        <f t="shared" si="43"/>
        <v>Material Delivered</v>
      </c>
      <c r="L201" s="3" t="str">
        <f t="shared" si="44"/>
        <v>In Progress</v>
      </c>
      <c r="M201" s="3" t="str">
        <f t="shared" si="45"/>
        <v>Pending</v>
      </c>
      <c r="N201" s="3" t="str">
        <f t="shared" si="46"/>
        <v>Delayed</v>
      </c>
      <c r="P201" s="3">
        <f t="shared" si="47"/>
        <v>1</v>
      </c>
    </row>
    <row r="202" spans="1:16" x14ac:dyDescent="0.35">
      <c r="A202" s="3" t="str">
        <f t="shared" si="33"/>
        <v>PRJ201</v>
      </c>
      <c r="B202" s="8" t="str">
        <f t="shared" si="34"/>
        <v>Green Valley Enclave 201</v>
      </c>
      <c r="C202" s="3" t="str">
        <f t="shared" si="35"/>
        <v>South Kerala</v>
      </c>
      <c r="D202" s="3" t="str">
        <f t="shared" si="36"/>
        <v>Trivandrum</v>
      </c>
      <c r="E202" s="3" t="str">
        <f t="shared" si="37"/>
        <v>Hospital</v>
      </c>
      <c r="F202" s="4">
        <f t="shared" si="38"/>
        <v>18</v>
      </c>
      <c r="G202" s="6">
        <f t="shared" si="39"/>
        <v>46093</v>
      </c>
      <c r="H202" s="6">
        <f t="shared" si="40"/>
        <v>46183</v>
      </c>
      <c r="I202" s="6" t="str">
        <f t="shared" si="41"/>
        <v/>
      </c>
      <c r="J202" s="3" t="str">
        <f t="shared" si="42"/>
        <v/>
      </c>
      <c r="K202" s="3" t="str">
        <f t="shared" si="43"/>
        <v>Installation Started</v>
      </c>
      <c r="L202" s="3" t="str">
        <f t="shared" si="44"/>
        <v>In Progress</v>
      </c>
      <c r="M202" s="3" t="str">
        <f t="shared" si="45"/>
        <v>Pending</v>
      </c>
      <c r="N202" s="3" t="str">
        <f t="shared" si="46"/>
        <v>In Progress</v>
      </c>
      <c r="P202" s="3">
        <f t="shared" si="47"/>
        <v>1</v>
      </c>
    </row>
    <row r="203" spans="1:16" x14ac:dyDescent="0.35">
      <c r="A203" s="3" t="str">
        <f t="shared" si="33"/>
        <v>PRJ202</v>
      </c>
      <c r="B203" s="8" t="str">
        <f t="shared" si="34"/>
        <v>Royal Palm Enclave 202</v>
      </c>
      <c r="C203" s="3" t="str">
        <f t="shared" si="35"/>
        <v>North Kerala</v>
      </c>
      <c r="D203" s="3" t="str">
        <f t="shared" si="36"/>
        <v>Kozhikode</v>
      </c>
      <c r="E203" s="3" t="str">
        <f t="shared" si="37"/>
        <v>Office</v>
      </c>
      <c r="F203" s="4">
        <f t="shared" si="38"/>
        <v>24</v>
      </c>
      <c r="G203" s="6">
        <f t="shared" si="39"/>
        <v>46100</v>
      </c>
      <c r="H203" s="6">
        <f t="shared" si="40"/>
        <v>46220</v>
      </c>
      <c r="I203" s="6">
        <f t="shared" si="41"/>
        <v>46220</v>
      </c>
      <c r="J203" s="3">
        <f t="shared" si="42"/>
        <v>0</v>
      </c>
      <c r="K203" s="3" t="str">
        <f t="shared" si="43"/>
        <v>Mechanical Completion</v>
      </c>
      <c r="L203" s="3" t="str">
        <f t="shared" si="44"/>
        <v>In Progress</v>
      </c>
      <c r="M203" s="3" t="str">
        <f t="shared" si="45"/>
        <v>Pending</v>
      </c>
      <c r="N203" s="3" t="str">
        <f t="shared" si="46"/>
        <v>On Time</v>
      </c>
      <c r="P203" s="3">
        <f t="shared" si="47"/>
        <v>1</v>
      </c>
    </row>
    <row r="204" spans="1:16" x14ac:dyDescent="0.35">
      <c r="A204" s="3" t="str">
        <f t="shared" si="33"/>
        <v>PRJ203</v>
      </c>
      <c r="B204" s="8" t="str">
        <f t="shared" si="34"/>
        <v>Skyline Enclave 203</v>
      </c>
      <c r="C204" s="3" t="str">
        <f t="shared" si="35"/>
        <v>Central Kerala</v>
      </c>
      <c r="D204" s="3" t="str">
        <f t="shared" si="36"/>
        <v>Idukki</v>
      </c>
      <c r="E204" s="3" t="str">
        <f t="shared" si="37"/>
        <v>Hotel</v>
      </c>
      <c r="F204" s="4">
        <f t="shared" si="38"/>
        <v>42</v>
      </c>
      <c r="G204" s="6">
        <f t="shared" si="39"/>
        <v>46107</v>
      </c>
      <c r="H204" s="6">
        <f t="shared" si="40"/>
        <v>46257</v>
      </c>
      <c r="I204" s="6">
        <f t="shared" si="41"/>
        <v>46264</v>
      </c>
      <c r="J204" s="3">
        <f t="shared" si="42"/>
        <v>7</v>
      </c>
      <c r="K204" s="3" t="str">
        <f t="shared" si="43"/>
        <v>Testing &amp; Commissioning</v>
      </c>
      <c r="L204" s="3" t="str">
        <f t="shared" si="44"/>
        <v>In Progress</v>
      </c>
      <c r="M204" s="3" t="str">
        <f t="shared" si="45"/>
        <v>Pending</v>
      </c>
      <c r="N204" s="3" t="str">
        <f t="shared" si="46"/>
        <v>Delayed</v>
      </c>
      <c r="P204" s="3">
        <f t="shared" si="47"/>
        <v>1</v>
      </c>
    </row>
    <row r="205" spans="1:16" x14ac:dyDescent="0.35">
      <c r="A205" s="3" t="str">
        <f t="shared" ref="A205:A268" si="48">"PRJ"&amp;TEXT(ROW()-1,"000")</f>
        <v>PRJ204</v>
      </c>
      <c r="B205" s="8" t="str">
        <f t="shared" ref="B205:B268" si="49">CHOOSE(MOD(ROW()-2,10)+1,"Green Valley","Royal Palm","Skyline","Harmony","Lakeside","Sunrise","Silver Oak","River View","Golden Gate","Emerald")&amp;" "&amp;CHOOSE(MOD(INT((ROW()-2)/10),8)+1,"Residency","Apartments","Heights","Towers","Enclave","Business Centre","Grand Hotel","Care Hospital")&amp;" "&amp;TEXT(ROW()-1,"000")</f>
        <v>Harmony Enclave 204</v>
      </c>
      <c r="C205" s="3" t="str">
        <f t="shared" ref="C205:C268" si="50">CHOOSE(MOD(ROW()-2,3)+1,"North Kerala","Central Kerala","South Kerala")</f>
        <v>South Kerala</v>
      </c>
      <c r="D205" s="3" t="str">
        <f t="shared" ref="D205:D268" si="51">IF(C205="North Kerala",CHOOSE(MOD(ROW()-2,4)+1,"Kannur","Kozhikode","Wayanad","Kasaragod"),IF(C205="Central Kerala",CHOOSE(MOD(ROW()-2,6)+1,"Kochi","Thrissur","Kottayam","Palakkad","Idukki","Alappuzha"),CHOOSE(MOD(ROW()-2,4)+1,"Trivandrum","Kollam","Pathanamthitta","Alappuzha")))</f>
        <v>Alappuzha</v>
      </c>
      <c r="E205" s="3" t="str">
        <f t="shared" ref="E205:E268" si="52">CHOOSE(MOD(ROW()-2,6)+1,"Residential","Apartment","Hospital","Office","Hotel","Commercial")</f>
        <v>Commercial</v>
      </c>
      <c r="F205" s="4">
        <f t="shared" ref="F205:F268" si="53">CHOOSE(MOD(ROW()-2,10)+1,18,24,42,65,38,55,27,21,48,32)</f>
        <v>65</v>
      </c>
      <c r="G205" s="6">
        <f t="shared" ref="G205:G268" si="54">DATE(2026,1,1)+MOD((ROW()-12)*7,180)</f>
        <v>46114</v>
      </c>
      <c r="H205" s="6">
        <f t="shared" ref="H205:H268" si="55">G205+CHOOSE(MOD(ROW()-2,5)+1,90,120,150,180,210)</f>
        <v>46294</v>
      </c>
      <c r="I205" s="6">
        <f t="shared" ref="I205:I268" si="56">IF(MOD(ROW()-2,4)=0,"",H205+CHOOSE(MOD(ROW()-2,5)+1,-5,0,7,-2,10))</f>
        <v>46292</v>
      </c>
      <c r="J205" s="3">
        <f t="shared" ref="J205:J268" si="57">IF(I205="","",I205-H205)</f>
        <v>-2</v>
      </c>
      <c r="K205" s="3" t="str">
        <f t="shared" ref="K205:K268" si="58">CHOOSE(MOD(ROW()-2,6)+1,"Material Ordered","Material Delivered","Installation Started","Mechanical Completion","Testing &amp; Commissioning","Handover")</f>
        <v>Handover</v>
      </c>
      <c r="L205" s="3" t="str">
        <f t="shared" ref="L205:L268" si="59">IF(K205="Handover","Completed","In Progress")</f>
        <v>Completed</v>
      </c>
      <c r="M205" s="3" t="str">
        <f t="shared" ref="M205:M268" si="60">IF(K205="Handover","Completed","Pending")</f>
        <v>Completed</v>
      </c>
      <c r="N205" s="3" t="str">
        <f t="shared" si="46"/>
        <v>Early</v>
      </c>
      <c r="P205" s="3">
        <f t="shared" si="47"/>
        <v>1</v>
      </c>
    </row>
    <row r="206" spans="1:16" x14ac:dyDescent="0.35">
      <c r="A206" s="3" t="str">
        <f t="shared" si="48"/>
        <v>PRJ205</v>
      </c>
      <c r="B206" s="8" t="str">
        <f t="shared" si="49"/>
        <v>Lakeside Enclave 205</v>
      </c>
      <c r="C206" s="3" t="str">
        <f t="shared" si="50"/>
        <v>North Kerala</v>
      </c>
      <c r="D206" s="3" t="str">
        <f t="shared" si="51"/>
        <v>Kannur</v>
      </c>
      <c r="E206" s="3" t="str">
        <f t="shared" si="52"/>
        <v>Residential</v>
      </c>
      <c r="F206" s="4">
        <f t="shared" si="53"/>
        <v>38</v>
      </c>
      <c r="G206" s="6">
        <f t="shared" si="54"/>
        <v>46121</v>
      </c>
      <c r="H206" s="6">
        <f t="shared" si="55"/>
        <v>46331</v>
      </c>
      <c r="I206" s="6" t="str">
        <f t="shared" si="56"/>
        <v/>
      </c>
      <c r="J206" s="3" t="str">
        <f t="shared" si="57"/>
        <v/>
      </c>
      <c r="K206" s="3" t="str">
        <f t="shared" si="58"/>
        <v>Material Ordered</v>
      </c>
      <c r="L206" s="3" t="str">
        <f t="shared" si="59"/>
        <v>In Progress</v>
      </c>
      <c r="M206" s="3" t="str">
        <f t="shared" si="60"/>
        <v>Pending</v>
      </c>
      <c r="N206" s="3" t="str">
        <f t="shared" si="46"/>
        <v>In Progress</v>
      </c>
      <c r="P206" s="3">
        <f t="shared" si="47"/>
        <v>1</v>
      </c>
    </row>
    <row r="207" spans="1:16" x14ac:dyDescent="0.35">
      <c r="A207" s="3" t="str">
        <f t="shared" si="48"/>
        <v>PRJ206</v>
      </c>
      <c r="B207" s="8" t="str">
        <f t="shared" si="49"/>
        <v>Sunrise Enclave 206</v>
      </c>
      <c r="C207" s="3" t="str">
        <f t="shared" si="50"/>
        <v>Central Kerala</v>
      </c>
      <c r="D207" s="3" t="str">
        <f t="shared" si="51"/>
        <v>Thrissur</v>
      </c>
      <c r="E207" s="3" t="str">
        <f t="shared" si="52"/>
        <v>Apartment</v>
      </c>
      <c r="F207" s="4">
        <f t="shared" si="53"/>
        <v>55</v>
      </c>
      <c r="G207" s="6">
        <f t="shared" si="54"/>
        <v>46128</v>
      </c>
      <c r="H207" s="6">
        <f t="shared" si="55"/>
        <v>46218</v>
      </c>
      <c r="I207" s="6">
        <f t="shared" si="56"/>
        <v>46213</v>
      </c>
      <c r="J207" s="3">
        <f t="shared" si="57"/>
        <v>-5</v>
      </c>
      <c r="K207" s="3" t="str">
        <f t="shared" si="58"/>
        <v>Material Delivered</v>
      </c>
      <c r="L207" s="3" t="str">
        <f t="shared" si="59"/>
        <v>In Progress</v>
      </c>
      <c r="M207" s="3" t="str">
        <f t="shared" si="60"/>
        <v>Pending</v>
      </c>
      <c r="N207" s="3" t="str">
        <f t="shared" si="46"/>
        <v>Early</v>
      </c>
      <c r="P207" s="3">
        <f t="shared" si="47"/>
        <v>1</v>
      </c>
    </row>
    <row r="208" spans="1:16" x14ac:dyDescent="0.35">
      <c r="A208" s="3" t="str">
        <f t="shared" si="48"/>
        <v>PRJ207</v>
      </c>
      <c r="B208" s="8" t="str">
        <f t="shared" si="49"/>
        <v>Silver Oak Enclave 207</v>
      </c>
      <c r="C208" s="3" t="str">
        <f t="shared" si="50"/>
        <v>South Kerala</v>
      </c>
      <c r="D208" s="3" t="str">
        <f t="shared" si="51"/>
        <v>Pathanamthitta</v>
      </c>
      <c r="E208" s="3" t="str">
        <f t="shared" si="52"/>
        <v>Hospital</v>
      </c>
      <c r="F208" s="4">
        <f t="shared" si="53"/>
        <v>27</v>
      </c>
      <c r="G208" s="6">
        <f t="shared" si="54"/>
        <v>46135</v>
      </c>
      <c r="H208" s="6">
        <f t="shared" si="55"/>
        <v>46255</v>
      </c>
      <c r="I208" s="6">
        <f t="shared" si="56"/>
        <v>46255</v>
      </c>
      <c r="J208" s="3">
        <f t="shared" si="57"/>
        <v>0</v>
      </c>
      <c r="K208" s="3" t="str">
        <f t="shared" si="58"/>
        <v>Installation Started</v>
      </c>
      <c r="L208" s="3" t="str">
        <f t="shared" si="59"/>
        <v>In Progress</v>
      </c>
      <c r="M208" s="3" t="str">
        <f t="shared" si="60"/>
        <v>Pending</v>
      </c>
      <c r="N208" s="3" t="str">
        <f t="shared" si="46"/>
        <v>On Time</v>
      </c>
      <c r="P208" s="3">
        <f t="shared" si="47"/>
        <v>1</v>
      </c>
    </row>
    <row r="209" spans="1:16" x14ac:dyDescent="0.35">
      <c r="A209" s="3" t="str">
        <f t="shared" si="48"/>
        <v>PRJ208</v>
      </c>
      <c r="B209" s="8" t="str">
        <f t="shared" si="49"/>
        <v>River View Enclave 208</v>
      </c>
      <c r="C209" s="3" t="str">
        <f t="shared" si="50"/>
        <v>North Kerala</v>
      </c>
      <c r="D209" s="3" t="str">
        <f t="shared" si="51"/>
        <v>Kasaragod</v>
      </c>
      <c r="E209" s="3" t="str">
        <f t="shared" si="52"/>
        <v>Office</v>
      </c>
      <c r="F209" s="4">
        <f t="shared" si="53"/>
        <v>21</v>
      </c>
      <c r="G209" s="6">
        <f t="shared" si="54"/>
        <v>46142</v>
      </c>
      <c r="H209" s="6">
        <f t="shared" si="55"/>
        <v>46292</v>
      </c>
      <c r="I209" s="6">
        <f t="shared" si="56"/>
        <v>46299</v>
      </c>
      <c r="J209" s="3">
        <f t="shared" si="57"/>
        <v>7</v>
      </c>
      <c r="K209" s="3" t="str">
        <f t="shared" si="58"/>
        <v>Mechanical Completion</v>
      </c>
      <c r="L209" s="3" t="str">
        <f t="shared" si="59"/>
        <v>In Progress</v>
      </c>
      <c r="M209" s="3" t="str">
        <f t="shared" si="60"/>
        <v>Pending</v>
      </c>
      <c r="N209" s="3" t="str">
        <f t="shared" si="46"/>
        <v>Delayed</v>
      </c>
      <c r="P209" s="3">
        <f t="shared" si="47"/>
        <v>1</v>
      </c>
    </row>
    <row r="210" spans="1:16" x14ac:dyDescent="0.35">
      <c r="A210" s="3" t="str">
        <f t="shared" si="48"/>
        <v>PRJ209</v>
      </c>
      <c r="B210" s="8" t="str">
        <f t="shared" si="49"/>
        <v>Golden Gate Enclave 209</v>
      </c>
      <c r="C210" s="3" t="str">
        <f t="shared" si="50"/>
        <v>Central Kerala</v>
      </c>
      <c r="D210" s="3" t="str">
        <f t="shared" si="51"/>
        <v>Idukki</v>
      </c>
      <c r="E210" s="3" t="str">
        <f t="shared" si="52"/>
        <v>Hotel</v>
      </c>
      <c r="F210" s="4">
        <f t="shared" si="53"/>
        <v>48</v>
      </c>
      <c r="G210" s="6">
        <f t="shared" si="54"/>
        <v>46149</v>
      </c>
      <c r="H210" s="6">
        <f t="shared" si="55"/>
        <v>46329</v>
      </c>
      <c r="I210" s="6" t="str">
        <f t="shared" si="56"/>
        <v/>
      </c>
      <c r="J210" s="3" t="str">
        <f t="shared" si="57"/>
        <v/>
      </c>
      <c r="K210" s="3" t="str">
        <f t="shared" si="58"/>
        <v>Testing &amp; Commissioning</v>
      </c>
      <c r="L210" s="3" t="str">
        <f t="shared" si="59"/>
        <v>In Progress</v>
      </c>
      <c r="M210" s="3" t="str">
        <f t="shared" si="60"/>
        <v>Pending</v>
      </c>
      <c r="N210" s="3" t="str">
        <f t="shared" si="46"/>
        <v>In Progress</v>
      </c>
      <c r="P210" s="3">
        <f t="shared" si="47"/>
        <v>1</v>
      </c>
    </row>
    <row r="211" spans="1:16" x14ac:dyDescent="0.35">
      <c r="A211" s="3" t="str">
        <f t="shared" si="48"/>
        <v>PRJ210</v>
      </c>
      <c r="B211" s="8" t="str">
        <f t="shared" si="49"/>
        <v>Emerald Enclave 210</v>
      </c>
      <c r="C211" s="3" t="str">
        <f t="shared" si="50"/>
        <v>South Kerala</v>
      </c>
      <c r="D211" s="3" t="str">
        <f t="shared" si="51"/>
        <v>Kollam</v>
      </c>
      <c r="E211" s="3" t="str">
        <f t="shared" si="52"/>
        <v>Commercial</v>
      </c>
      <c r="F211" s="4">
        <f t="shared" si="53"/>
        <v>32</v>
      </c>
      <c r="G211" s="6">
        <f t="shared" si="54"/>
        <v>46156</v>
      </c>
      <c r="H211" s="6">
        <f t="shared" si="55"/>
        <v>46366</v>
      </c>
      <c r="I211" s="6">
        <f t="shared" si="56"/>
        <v>46376</v>
      </c>
      <c r="J211" s="3">
        <f t="shared" si="57"/>
        <v>10</v>
      </c>
      <c r="K211" s="3" t="str">
        <f t="shared" si="58"/>
        <v>Handover</v>
      </c>
      <c r="L211" s="3" t="str">
        <f t="shared" si="59"/>
        <v>Completed</v>
      </c>
      <c r="M211" s="3" t="str">
        <f t="shared" si="60"/>
        <v>Completed</v>
      </c>
      <c r="N211" s="3" t="str">
        <f t="shared" si="46"/>
        <v>Delayed</v>
      </c>
      <c r="P211" s="3">
        <f t="shared" si="47"/>
        <v>1</v>
      </c>
    </row>
    <row r="212" spans="1:16" x14ac:dyDescent="0.35">
      <c r="A212" s="3" t="str">
        <f t="shared" si="48"/>
        <v>PRJ211</v>
      </c>
      <c r="B212" s="8" t="str">
        <f t="shared" si="49"/>
        <v>Green Valley Business Centre 211</v>
      </c>
      <c r="C212" s="3" t="str">
        <f t="shared" si="50"/>
        <v>North Kerala</v>
      </c>
      <c r="D212" s="3" t="str">
        <f t="shared" si="51"/>
        <v>Wayanad</v>
      </c>
      <c r="E212" s="3" t="str">
        <f t="shared" si="52"/>
        <v>Residential</v>
      </c>
      <c r="F212" s="4">
        <f t="shared" si="53"/>
        <v>18</v>
      </c>
      <c r="G212" s="6">
        <f t="shared" si="54"/>
        <v>46163</v>
      </c>
      <c r="H212" s="6">
        <f t="shared" si="55"/>
        <v>46253</v>
      </c>
      <c r="I212" s="6">
        <f t="shared" si="56"/>
        <v>46248</v>
      </c>
      <c r="J212" s="3">
        <f t="shared" si="57"/>
        <v>-5</v>
      </c>
      <c r="K212" s="3" t="str">
        <f t="shared" si="58"/>
        <v>Material Ordered</v>
      </c>
      <c r="L212" s="3" t="str">
        <f t="shared" si="59"/>
        <v>In Progress</v>
      </c>
      <c r="M212" s="3" t="str">
        <f t="shared" si="60"/>
        <v>Pending</v>
      </c>
      <c r="N212" s="3" t="str">
        <f t="shared" si="46"/>
        <v>Early</v>
      </c>
      <c r="P212" s="3">
        <f t="shared" si="47"/>
        <v>1</v>
      </c>
    </row>
    <row r="213" spans="1:16" x14ac:dyDescent="0.35">
      <c r="A213" s="3" t="str">
        <f t="shared" si="48"/>
        <v>PRJ212</v>
      </c>
      <c r="B213" s="8" t="str">
        <f t="shared" si="49"/>
        <v>Royal Palm Business Centre 212</v>
      </c>
      <c r="C213" s="3" t="str">
        <f t="shared" si="50"/>
        <v>Central Kerala</v>
      </c>
      <c r="D213" s="3" t="str">
        <f t="shared" si="51"/>
        <v>Thrissur</v>
      </c>
      <c r="E213" s="3" t="str">
        <f t="shared" si="52"/>
        <v>Apartment</v>
      </c>
      <c r="F213" s="4">
        <f t="shared" si="53"/>
        <v>24</v>
      </c>
      <c r="G213" s="6">
        <f t="shared" si="54"/>
        <v>46170</v>
      </c>
      <c r="H213" s="6">
        <f t="shared" si="55"/>
        <v>46290</v>
      </c>
      <c r="I213" s="6">
        <f t="shared" si="56"/>
        <v>46290</v>
      </c>
      <c r="J213" s="3">
        <f t="shared" si="57"/>
        <v>0</v>
      </c>
      <c r="K213" s="3" t="str">
        <f t="shared" si="58"/>
        <v>Material Delivered</v>
      </c>
      <c r="L213" s="3" t="str">
        <f t="shared" si="59"/>
        <v>In Progress</v>
      </c>
      <c r="M213" s="3" t="str">
        <f t="shared" si="60"/>
        <v>Pending</v>
      </c>
      <c r="N213" s="3" t="str">
        <f t="shared" si="46"/>
        <v>On Time</v>
      </c>
      <c r="P213" s="3">
        <f t="shared" si="47"/>
        <v>1</v>
      </c>
    </row>
    <row r="214" spans="1:16" x14ac:dyDescent="0.35">
      <c r="A214" s="3" t="str">
        <f t="shared" si="48"/>
        <v>PRJ213</v>
      </c>
      <c r="B214" s="8" t="str">
        <f t="shared" si="49"/>
        <v>Skyline Business Centre 213</v>
      </c>
      <c r="C214" s="3" t="str">
        <f t="shared" si="50"/>
        <v>South Kerala</v>
      </c>
      <c r="D214" s="3" t="str">
        <f t="shared" si="51"/>
        <v>Trivandrum</v>
      </c>
      <c r="E214" s="3" t="str">
        <f t="shared" si="52"/>
        <v>Hospital</v>
      </c>
      <c r="F214" s="4">
        <f t="shared" si="53"/>
        <v>42</v>
      </c>
      <c r="G214" s="6">
        <f t="shared" si="54"/>
        <v>46177</v>
      </c>
      <c r="H214" s="6">
        <f t="shared" si="55"/>
        <v>46327</v>
      </c>
      <c r="I214" s="6" t="str">
        <f t="shared" si="56"/>
        <v/>
      </c>
      <c r="J214" s="3" t="str">
        <f t="shared" si="57"/>
        <v/>
      </c>
      <c r="K214" s="3" t="str">
        <f t="shared" si="58"/>
        <v>Installation Started</v>
      </c>
      <c r="L214" s="3" t="str">
        <f t="shared" si="59"/>
        <v>In Progress</v>
      </c>
      <c r="M214" s="3" t="str">
        <f t="shared" si="60"/>
        <v>Pending</v>
      </c>
      <c r="N214" s="3" t="str">
        <f t="shared" si="46"/>
        <v>In Progress</v>
      </c>
      <c r="P214" s="3">
        <f t="shared" si="47"/>
        <v>1</v>
      </c>
    </row>
    <row r="215" spans="1:16" x14ac:dyDescent="0.35">
      <c r="A215" s="3" t="str">
        <f t="shared" si="48"/>
        <v>PRJ214</v>
      </c>
      <c r="B215" s="8" t="str">
        <f t="shared" si="49"/>
        <v>Harmony Business Centre 214</v>
      </c>
      <c r="C215" s="3" t="str">
        <f t="shared" si="50"/>
        <v>North Kerala</v>
      </c>
      <c r="D215" s="3" t="str">
        <f t="shared" si="51"/>
        <v>Kozhikode</v>
      </c>
      <c r="E215" s="3" t="str">
        <f t="shared" si="52"/>
        <v>Office</v>
      </c>
      <c r="F215" s="4">
        <f t="shared" si="53"/>
        <v>65</v>
      </c>
      <c r="G215" s="6">
        <f t="shared" si="54"/>
        <v>46184</v>
      </c>
      <c r="H215" s="6">
        <f t="shared" si="55"/>
        <v>46364</v>
      </c>
      <c r="I215" s="6">
        <f t="shared" si="56"/>
        <v>46362</v>
      </c>
      <c r="J215" s="3">
        <f t="shared" si="57"/>
        <v>-2</v>
      </c>
      <c r="K215" s="3" t="str">
        <f t="shared" si="58"/>
        <v>Mechanical Completion</v>
      </c>
      <c r="L215" s="3" t="str">
        <f t="shared" si="59"/>
        <v>In Progress</v>
      </c>
      <c r="M215" s="3" t="str">
        <f t="shared" si="60"/>
        <v>Pending</v>
      </c>
      <c r="N215" s="3" t="str">
        <f t="shared" si="46"/>
        <v>Early</v>
      </c>
      <c r="P215" s="3">
        <f t="shared" si="47"/>
        <v>1</v>
      </c>
    </row>
    <row r="216" spans="1:16" x14ac:dyDescent="0.35">
      <c r="A216" s="3" t="str">
        <f t="shared" si="48"/>
        <v>PRJ215</v>
      </c>
      <c r="B216" s="8" t="str">
        <f t="shared" si="49"/>
        <v>Lakeside Business Centre 215</v>
      </c>
      <c r="C216" s="3" t="str">
        <f t="shared" si="50"/>
        <v>Central Kerala</v>
      </c>
      <c r="D216" s="3" t="str">
        <f t="shared" si="51"/>
        <v>Idukki</v>
      </c>
      <c r="E216" s="3" t="str">
        <f t="shared" si="52"/>
        <v>Hotel</v>
      </c>
      <c r="F216" s="4">
        <f t="shared" si="53"/>
        <v>38</v>
      </c>
      <c r="G216" s="6">
        <f t="shared" si="54"/>
        <v>46191</v>
      </c>
      <c r="H216" s="6">
        <f t="shared" si="55"/>
        <v>46401</v>
      </c>
      <c r="I216" s="6">
        <f t="shared" si="56"/>
        <v>46411</v>
      </c>
      <c r="J216" s="3">
        <f t="shared" si="57"/>
        <v>10</v>
      </c>
      <c r="K216" s="3" t="str">
        <f t="shared" si="58"/>
        <v>Testing &amp; Commissioning</v>
      </c>
      <c r="L216" s="3" t="str">
        <f t="shared" si="59"/>
        <v>In Progress</v>
      </c>
      <c r="M216" s="3" t="str">
        <f t="shared" si="60"/>
        <v>Pending</v>
      </c>
      <c r="N216" s="3" t="str">
        <f t="shared" si="46"/>
        <v>Delayed</v>
      </c>
      <c r="P216" s="3">
        <f t="shared" si="47"/>
        <v>1</v>
      </c>
    </row>
    <row r="217" spans="1:16" x14ac:dyDescent="0.35">
      <c r="A217" s="3" t="str">
        <f t="shared" si="48"/>
        <v>PRJ216</v>
      </c>
      <c r="B217" s="8" t="str">
        <f t="shared" si="49"/>
        <v>Sunrise Business Centre 216</v>
      </c>
      <c r="C217" s="3" t="str">
        <f t="shared" si="50"/>
        <v>South Kerala</v>
      </c>
      <c r="D217" s="3" t="str">
        <f t="shared" si="51"/>
        <v>Alappuzha</v>
      </c>
      <c r="E217" s="3" t="str">
        <f t="shared" si="52"/>
        <v>Commercial</v>
      </c>
      <c r="F217" s="4">
        <f t="shared" si="53"/>
        <v>55</v>
      </c>
      <c r="G217" s="6">
        <f t="shared" si="54"/>
        <v>46198</v>
      </c>
      <c r="H217" s="6">
        <f t="shared" si="55"/>
        <v>46288</v>
      </c>
      <c r="I217" s="6">
        <f t="shared" si="56"/>
        <v>46283</v>
      </c>
      <c r="J217" s="3">
        <f t="shared" si="57"/>
        <v>-5</v>
      </c>
      <c r="K217" s="3" t="str">
        <f t="shared" si="58"/>
        <v>Handover</v>
      </c>
      <c r="L217" s="3" t="str">
        <f t="shared" si="59"/>
        <v>Completed</v>
      </c>
      <c r="M217" s="3" t="str">
        <f t="shared" si="60"/>
        <v>Completed</v>
      </c>
      <c r="N217" s="3" t="str">
        <f t="shared" si="46"/>
        <v>Early</v>
      </c>
      <c r="P217" s="3">
        <f t="shared" si="47"/>
        <v>1</v>
      </c>
    </row>
    <row r="218" spans="1:16" x14ac:dyDescent="0.35">
      <c r="A218" s="3" t="str">
        <f t="shared" si="48"/>
        <v>PRJ217</v>
      </c>
      <c r="B218" s="8" t="str">
        <f t="shared" si="49"/>
        <v>Silver Oak Business Centre 217</v>
      </c>
      <c r="C218" s="3" t="str">
        <f t="shared" si="50"/>
        <v>North Kerala</v>
      </c>
      <c r="D218" s="3" t="str">
        <f t="shared" si="51"/>
        <v>Kannur</v>
      </c>
      <c r="E218" s="3" t="str">
        <f t="shared" si="52"/>
        <v>Residential</v>
      </c>
      <c r="F218" s="4">
        <f t="shared" si="53"/>
        <v>27</v>
      </c>
      <c r="G218" s="6">
        <f t="shared" si="54"/>
        <v>46025</v>
      </c>
      <c r="H218" s="6">
        <f t="shared" si="55"/>
        <v>46145</v>
      </c>
      <c r="I218" s="6" t="str">
        <f t="shared" si="56"/>
        <v/>
      </c>
      <c r="J218" s="3" t="str">
        <f t="shared" si="57"/>
        <v/>
      </c>
      <c r="K218" s="3" t="str">
        <f t="shared" si="58"/>
        <v>Material Ordered</v>
      </c>
      <c r="L218" s="3" t="str">
        <f t="shared" si="59"/>
        <v>In Progress</v>
      </c>
      <c r="M218" s="3" t="str">
        <f t="shared" si="60"/>
        <v>Pending</v>
      </c>
      <c r="N218" s="3" t="str">
        <f t="shared" si="46"/>
        <v>In Progress</v>
      </c>
      <c r="P218" s="3">
        <f t="shared" si="47"/>
        <v>1</v>
      </c>
    </row>
    <row r="219" spans="1:16" x14ac:dyDescent="0.35">
      <c r="A219" s="3" t="str">
        <f t="shared" si="48"/>
        <v>PRJ218</v>
      </c>
      <c r="B219" s="8" t="str">
        <f t="shared" si="49"/>
        <v>River View Business Centre 218</v>
      </c>
      <c r="C219" s="3" t="str">
        <f t="shared" si="50"/>
        <v>Central Kerala</v>
      </c>
      <c r="D219" s="3" t="str">
        <f t="shared" si="51"/>
        <v>Thrissur</v>
      </c>
      <c r="E219" s="3" t="str">
        <f t="shared" si="52"/>
        <v>Apartment</v>
      </c>
      <c r="F219" s="4">
        <f t="shared" si="53"/>
        <v>21</v>
      </c>
      <c r="G219" s="6">
        <f t="shared" si="54"/>
        <v>46032</v>
      </c>
      <c r="H219" s="6">
        <f t="shared" si="55"/>
        <v>46182</v>
      </c>
      <c r="I219" s="6">
        <f t="shared" si="56"/>
        <v>46189</v>
      </c>
      <c r="J219" s="3">
        <f t="shared" si="57"/>
        <v>7</v>
      </c>
      <c r="K219" s="3" t="str">
        <f t="shared" si="58"/>
        <v>Material Delivered</v>
      </c>
      <c r="L219" s="3" t="str">
        <f t="shared" si="59"/>
        <v>In Progress</v>
      </c>
      <c r="M219" s="3" t="str">
        <f t="shared" si="60"/>
        <v>Pending</v>
      </c>
      <c r="N219" s="3" t="str">
        <f t="shared" si="46"/>
        <v>Delayed</v>
      </c>
      <c r="P219" s="3">
        <f t="shared" si="47"/>
        <v>1</v>
      </c>
    </row>
    <row r="220" spans="1:16" x14ac:dyDescent="0.35">
      <c r="A220" s="3" t="str">
        <f t="shared" si="48"/>
        <v>PRJ219</v>
      </c>
      <c r="B220" s="8" t="str">
        <f t="shared" si="49"/>
        <v>Golden Gate Business Centre 219</v>
      </c>
      <c r="C220" s="3" t="str">
        <f t="shared" si="50"/>
        <v>South Kerala</v>
      </c>
      <c r="D220" s="3" t="str">
        <f t="shared" si="51"/>
        <v>Pathanamthitta</v>
      </c>
      <c r="E220" s="3" t="str">
        <f t="shared" si="52"/>
        <v>Hospital</v>
      </c>
      <c r="F220" s="4">
        <f t="shared" si="53"/>
        <v>48</v>
      </c>
      <c r="G220" s="6">
        <f t="shared" si="54"/>
        <v>46039</v>
      </c>
      <c r="H220" s="6">
        <f t="shared" si="55"/>
        <v>46219</v>
      </c>
      <c r="I220" s="6">
        <f t="shared" si="56"/>
        <v>46217</v>
      </c>
      <c r="J220" s="3">
        <f t="shared" si="57"/>
        <v>-2</v>
      </c>
      <c r="K220" s="3" t="str">
        <f t="shared" si="58"/>
        <v>Installation Started</v>
      </c>
      <c r="L220" s="3" t="str">
        <f t="shared" si="59"/>
        <v>In Progress</v>
      </c>
      <c r="M220" s="3" t="str">
        <f t="shared" si="60"/>
        <v>Pending</v>
      </c>
      <c r="N220" s="3" t="str">
        <f t="shared" si="46"/>
        <v>Early</v>
      </c>
      <c r="P220" s="3">
        <f t="shared" si="47"/>
        <v>1</v>
      </c>
    </row>
    <row r="221" spans="1:16" x14ac:dyDescent="0.35">
      <c r="A221" s="3" t="str">
        <f t="shared" si="48"/>
        <v>PRJ220</v>
      </c>
      <c r="B221" s="8" t="str">
        <f t="shared" si="49"/>
        <v>Emerald Business Centre 220</v>
      </c>
      <c r="C221" s="3" t="str">
        <f t="shared" si="50"/>
        <v>North Kerala</v>
      </c>
      <c r="D221" s="3" t="str">
        <f t="shared" si="51"/>
        <v>Kasaragod</v>
      </c>
      <c r="E221" s="3" t="str">
        <f t="shared" si="52"/>
        <v>Office</v>
      </c>
      <c r="F221" s="4">
        <f t="shared" si="53"/>
        <v>32</v>
      </c>
      <c r="G221" s="6">
        <f t="shared" si="54"/>
        <v>46046</v>
      </c>
      <c r="H221" s="6">
        <f t="shared" si="55"/>
        <v>46256</v>
      </c>
      <c r="I221" s="6">
        <f t="shared" si="56"/>
        <v>46266</v>
      </c>
      <c r="J221" s="3">
        <f t="shared" si="57"/>
        <v>10</v>
      </c>
      <c r="K221" s="3" t="str">
        <f t="shared" si="58"/>
        <v>Mechanical Completion</v>
      </c>
      <c r="L221" s="3" t="str">
        <f t="shared" si="59"/>
        <v>In Progress</v>
      </c>
      <c r="M221" s="3" t="str">
        <f t="shared" si="60"/>
        <v>Pending</v>
      </c>
      <c r="N221" s="3" t="str">
        <f t="shared" si="46"/>
        <v>Delayed</v>
      </c>
      <c r="P221" s="3">
        <f t="shared" si="47"/>
        <v>1</v>
      </c>
    </row>
    <row r="222" spans="1:16" x14ac:dyDescent="0.35">
      <c r="A222" s="3" t="str">
        <f t="shared" si="48"/>
        <v>PRJ221</v>
      </c>
      <c r="B222" s="8" t="str">
        <f t="shared" si="49"/>
        <v>Green Valley Grand Hotel 221</v>
      </c>
      <c r="C222" s="3" t="str">
        <f t="shared" si="50"/>
        <v>Central Kerala</v>
      </c>
      <c r="D222" s="3" t="str">
        <f t="shared" si="51"/>
        <v>Idukki</v>
      </c>
      <c r="E222" s="3" t="str">
        <f t="shared" si="52"/>
        <v>Hotel</v>
      </c>
      <c r="F222" s="4">
        <f t="shared" si="53"/>
        <v>18</v>
      </c>
      <c r="G222" s="6">
        <f t="shared" si="54"/>
        <v>46053</v>
      </c>
      <c r="H222" s="6">
        <f t="shared" si="55"/>
        <v>46143</v>
      </c>
      <c r="I222" s="6" t="str">
        <f t="shared" si="56"/>
        <v/>
      </c>
      <c r="J222" s="3" t="str">
        <f t="shared" si="57"/>
        <v/>
      </c>
      <c r="K222" s="3" t="str">
        <f t="shared" si="58"/>
        <v>Testing &amp; Commissioning</v>
      </c>
      <c r="L222" s="3" t="str">
        <f t="shared" si="59"/>
        <v>In Progress</v>
      </c>
      <c r="M222" s="3" t="str">
        <f t="shared" si="60"/>
        <v>Pending</v>
      </c>
      <c r="N222" s="3" t="str">
        <f t="shared" si="46"/>
        <v>In Progress</v>
      </c>
      <c r="P222" s="3">
        <f t="shared" si="47"/>
        <v>1</v>
      </c>
    </row>
    <row r="223" spans="1:16" x14ac:dyDescent="0.35">
      <c r="A223" s="3" t="str">
        <f t="shared" si="48"/>
        <v>PRJ222</v>
      </c>
      <c r="B223" s="8" t="str">
        <f t="shared" si="49"/>
        <v>Royal Palm Grand Hotel 222</v>
      </c>
      <c r="C223" s="3" t="str">
        <f t="shared" si="50"/>
        <v>South Kerala</v>
      </c>
      <c r="D223" s="3" t="str">
        <f t="shared" si="51"/>
        <v>Kollam</v>
      </c>
      <c r="E223" s="3" t="str">
        <f t="shared" si="52"/>
        <v>Commercial</v>
      </c>
      <c r="F223" s="4">
        <f t="shared" si="53"/>
        <v>24</v>
      </c>
      <c r="G223" s="6">
        <f t="shared" si="54"/>
        <v>46060</v>
      </c>
      <c r="H223" s="6">
        <f t="shared" si="55"/>
        <v>46180</v>
      </c>
      <c r="I223" s="6">
        <f t="shared" si="56"/>
        <v>46180</v>
      </c>
      <c r="J223" s="3">
        <f t="shared" si="57"/>
        <v>0</v>
      </c>
      <c r="K223" s="3" t="str">
        <f t="shared" si="58"/>
        <v>Handover</v>
      </c>
      <c r="L223" s="3" t="str">
        <f t="shared" si="59"/>
        <v>Completed</v>
      </c>
      <c r="M223" s="3" t="str">
        <f t="shared" si="60"/>
        <v>Completed</v>
      </c>
      <c r="N223" s="3" t="str">
        <f t="shared" si="46"/>
        <v>On Time</v>
      </c>
      <c r="P223" s="3">
        <f t="shared" si="47"/>
        <v>1</v>
      </c>
    </row>
    <row r="224" spans="1:16" x14ac:dyDescent="0.35">
      <c r="A224" s="3" t="str">
        <f t="shared" si="48"/>
        <v>PRJ223</v>
      </c>
      <c r="B224" s="8" t="str">
        <f t="shared" si="49"/>
        <v>Skyline Grand Hotel 223</v>
      </c>
      <c r="C224" s="3" t="str">
        <f t="shared" si="50"/>
        <v>North Kerala</v>
      </c>
      <c r="D224" s="3" t="str">
        <f t="shared" si="51"/>
        <v>Wayanad</v>
      </c>
      <c r="E224" s="3" t="str">
        <f t="shared" si="52"/>
        <v>Residential</v>
      </c>
      <c r="F224" s="4">
        <f t="shared" si="53"/>
        <v>42</v>
      </c>
      <c r="G224" s="6">
        <f t="shared" si="54"/>
        <v>46067</v>
      </c>
      <c r="H224" s="6">
        <f t="shared" si="55"/>
        <v>46217</v>
      </c>
      <c r="I224" s="6">
        <f t="shared" si="56"/>
        <v>46224</v>
      </c>
      <c r="J224" s="3">
        <f t="shared" si="57"/>
        <v>7</v>
      </c>
      <c r="K224" s="3" t="str">
        <f t="shared" si="58"/>
        <v>Material Ordered</v>
      </c>
      <c r="L224" s="3" t="str">
        <f t="shared" si="59"/>
        <v>In Progress</v>
      </c>
      <c r="M224" s="3" t="str">
        <f t="shared" si="60"/>
        <v>Pending</v>
      </c>
      <c r="N224" s="3" t="str">
        <f t="shared" si="46"/>
        <v>Delayed</v>
      </c>
      <c r="P224" s="3">
        <f t="shared" si="47"/>
        <v>1</v>
      </c>
    </row>
    <row r="225" spans="1:16" x14ac:dyDescent="0.35">
      <c r="A225" s="3" t="str">
        <f t="shared" si="48"/>
        <v>PRJ224</v>
      </c>
      <c r="B225" s="8" t="str">
        <f t="shared" si="49"/>
        <v>Harmony Grand Hotel 224</v>
      </c>
      <c r="C225" s="3" t="str">
        <f t="shared" si="50"/>
        <v>Central Kerala</v>
      </c>
      <c r="D225" s="3" t="str">
        <f t="shared" si="51"/>
        <v>Thrissur</v>
      </c>
      <c r="E225" s="3" t="str">
        <f t="shared" si="52"/>
        <v>Apartment</v>
      </c>
      <c r="F225" s="4">
        <f t="shared" si="53"/>
        <v>65</v>
      </c>
      <c r="G225" s="6">
        <f t="shared" si="54"/>
        <v>46074</v>
      </c>
      <c r="H225" s="6">
        <f t="shared" si="55"/>
        <v>46254</v>
      </c>
      <c r="I225" s="6">
        <f t="shared" si="56"/>
        <v>46252</v>
      </c>
      <c r="J225" s="3">
        <f t="shared" si="57"/>
        <v>-2</v>
      </c>
      <c r="K225" s="3" t="str">
        <f t="shared" si="58"/>
        <v>Material Delivered</v>
      </c>
      <c r="L225" s="3" t="str">
        <f t="shared" si="59"/>
        <v>In Progress</v>
      </c>
      <c r="M225" s="3" t="str">
        <f t="shared" si="60"/>
        <v>Pending</v>
      </c>
      <c r="N225" s="3" t="str">
        <f t="shared" si="46"/>
        <v>Early</v>
      </c>
      <c r="P225" s="3">
        <f t="shared" si="47"/>
        <v>1</v>
      </c>
    </row>
    <row r="226" spans="1:16" x14ac:dyDescent="0.35">
      <c r="A226" s="3" t="str">
        <f t="shared" si="48"/>
        <v>PRJ225</v>
      </c>
      <c r="B226" s="8" t="str">
        <f t="shared" si="49"/>
        <v>Lakeside Grand Hotel 225</v>
      </c>
      <c r="C226" s="3" t="str">
        <f t="shared" si="50"/>
        <v>South Kerala</v>
      </c>
      <c r="D226" s="3" t="str">
        <f t="shared" si="51"/>
        <v>Trivandrum</v>
      </c>
      <c r="E226" s="3" t="str">
        <f t="shared" si="52"/>
        <v>Hospital</v>
      </c>
      <c r="F226" s="4">
        <f t="shared" si="53"/>
        <v>38</v>
      </c>
      <c r="G226" s="6">
        <f t="shared" si="54"/>
        <v>46081</v>
      </c>
      <c r="H226" s="6">
        <f t="shared" si="55"/>
        <v>46291</v>
      </c>
      <c r="I226" s="6" t="str">
        <f t="shared" si="56"/>
        <v/>
      </c>
      <c r="J226" s="3" t="str">
        <f t="shared" si="57"/>
        <v/>
      </c>
      <c r="K226" s="3" t="str">
        <f t="shared" si="58"/>
        <v>Installation Started</v>
      </c>
      <c r="L226" s="3" t="str">
        <f t="shared" si="59"/>
        <v>In Progress</v>
      </c>
      <c r="M226" s="3" t="str">
        <f t="shared" si="60"/>
        <v>Pending</v>
      </c>
      <c r="N226" s="3" t="str">
        <f t="shared" si="46"/>
        <v>In Progress</v>
      </c>
      <c r="P226" s="3">
        <f t="shared" si="47"/>
        <v>1</v>
      </c>
    </row>
    <row r="227" spans="1:16" x14ac:dyDescent="0.35">
      <c r="A227" s="3" t="str">
        <f t="shared" si="48"/>
        <v>PRJ226</v>
      </c>
      <c r="B227" s="8" t="str">
        <f t="shared" si="49"/>
        <v>Sunrise Grand Hotel 226</v>
      </c>
      <c r="C227" s="3" t="str">
        <f t="shared" si="50"/>
        <v>North Kerala</v>
      </c>
      <c r="D227" s="3" t="str">
        <f t="shared" si="51"/>
        <v>Kozhikode</v>
      </c>
      <c r="E227" s="3" t="str">
        <f t="shared" si="52"/>
        <v>Office</v>
      </c>
      <c r="F227" s="4">
        <f t="shared" si="53"/>
        <v>55</v>
      </c>
      <c r="G227" s="6">
        <f t="shared" si="54"/>
        <v>46088</v>
      </c>
      <c r="H227" s="6">
        <f t="shared" si="55"/>
        <v>46178</v>
      </c>
      <c r="I227" s="6">
        <f t="shared" si="56"/>
        <v>46173</v>
      </c>
      <c r="J227" s="3">
        <f t="shared" si="57"/>
        <v>-5</v>
      </c>
      <c r="K227" s="3" t="str">
        <f t="shared" si="58"/>
        <v>Mechanical Completion</v>
      </c>
      <c r="L227" s="3" t="str">
        <f t="shared" si="59"/>
        <v>In Progress</v>
      </c>
      <c r="M227" s="3" t="str">
        <f t="shared" si="60"/>
        <v>Pending</v>
      </c>
      <c r="N227" s="3" t="str">
        <f t="shared" si="46"/>
        <v>Early</v>
      </c>
      <c r="P227" s="3">
        <f t="shared" si="47"/>
        <v>1</v>
      </c>
    </row>
    <row r="228" spans="1:16" x14ac:dyDescent="0.35">
      <c r="A228" s="3" t="str">
        <f t="shared" si="48"/>
        <v>PRJ227</v>
      </c>
      <c r="B228" s="8" t="str">
        <f t="shared" si="49"/>
        <v>Silver Oak Grand Hotel 227</v>
      </c>
      <c r="C228" s="3" t="str">
        <f t="shared" si="50"/>
        <v>Central Kerala</v>
      </c>
      <c r="D228" s="3" t="str">
        <f t="shared" si="51"/>
        <v>Idukki</v>
      </c>
      <c r="E228" s="3" t="str">
        <f t="shared" si="52"/>
        <v>Hotel</v>
      </c>
      <c r="F228" s="4">
        <f t="shared" si="53"/>
        <v>27</v>
      </c>
      <c r="G228" s="6">
        <f t="shared" si="54"/>
        <v>46095</v>
      </c>
      <c r="H228" s="6">
        <f t="shared" si="55"/>
        <v>46215</v>
      </c>
      <c r="I228" s="6">
        <f t="shared" si="56"/>
        <v>46215</v>
      </c>
      <c r="J228" s="3">
        <f t="shared" si="57"/>
        <v>0</v>
      </c>
      <c r="K228" s="3" t="str">
        <f t="shared" si="58"/>
        <v>Testing &amp; Commissioning</v>
      </c>
      <c r="L228" s="3" t="str">
        <f t="shared" si="59"/>
        <v>In Progress</v>
      </c>
      <c r="M228" s="3" t="str">
        <f t="shared" si="60"/>
        <v>Pending</v>
      </c>
      <c r="N228" s="3" t="str">
        <f t="shared" si="46"/>
        <v>On Time</v>
      </c>
      <c r="P228" s="3">
        <f t="shared" si="47"/>
        <v>1</v>
      </c>
    </row>
    <row r="229" spans="1:16" x14ac:dyDescent="0.35">
      <c r="A229" s="3" t="str">
        <f t="shared" si="48"/>
        <v>PRJ228</v>
      </c>
      <c r="B229" s="8" t="str">
        <f t="shared" si="49"/>
        <v>River View Grand Hotel 228</v>
      </c>
      <c r="C229" s="3" t="str">
        <f t="shared" si="50"/>
        <v>South Kerala</v>
      </c>
      <c r="D229" s="3" t="str">
        <f t="shared" si="51"/>
        <v>Alappuzha</v>
      </c>
      <c r="E229" s="3" t="str">
        <f t="shared" si="52"/>
        <v>Commercial</v>
      </c>
      <c r="F229" s="4">
        <f t="shared" si="53"/>
        <v>21</v>
      </c>
      <c r="G229" s="6">
        <f t="shared" si="54"/>
        <v>46102</v>
      </c>
      <c r="H229" s="6">
        <f t="shared" si="55"/>
        <v>46252</v>
      </c>
      <c r="I229" s="6">
        <f t="shared" si="56"/>
        <v>46259</v>
      </c>
      <c r="J229" s="3">
        <f t="shared" si="57"/>
        <v>7</v>
      </c>
      <c r="K229" s="3" t="str">
        <f t="shared" si="58"/>
        <v>Handover</v>
      </c>
      <c r="L229" s="3" t="str">
        <f t="shared" si="59"/>
        <v>Completed</v>
      </c>
      <c r="M229" s="3" t="str">
        <f t="shared" si="60"/>
        <v>Completed</v>
      </c>
      <c r="N229" s="3" t="str">
        <f t="shared" si="46"/>
        <v>Delayed</v>
      </c>
      <c r="P229" s="3">
        <f t="shared" si="47"/>
        <v>1</v>
      </c>
    </row>
    <row r="230" spans="1:16" x14ac:dyDescent="0.35">
      <c r="A230" s="3" t="str">
        <f t="shared" si="48"/>
        <v>PRJ229</v>
      </c>
      <c r="B230" s="8" t="str">
        <f t="shared" si="49"/>
        <v>Golden Gate Grand Hotel 229</v>
      </c>
      <c r="C230" s="3" t="str">
        <f t="shared" si="50"/>
        <v>North Kerala</v>
      </c>
      <c r="D230" s="3" t="str">
        <f t="shared" si="51"/>
        <v>Kannur</v>
      </c>
      <c r="E230" s="3" t="str">
        <f t="shared" si="52"/>
        <v>Residential</v>
      </c>
      <c r="F230" s="4">
        <f t="shared" si="53"/>
        <v>48</v>
      </c>
      <c r="G230" s="6">
        <f t="shared" si="54"/>
        <v>46109</v>
      </c>
      <c r="H230" s="6">
        <f t="shared" si="55"/>
        <v>46289</v>
      </c>
      <c r="I230" s="6" t="str">
        <f t="shared" si="56"/>
        <v/>
      </c>
      <c r="J230" s="3" t="str">
        <f t="shared" si="57"/>
        <v/>
      </c>
      <c r="K230" s="3" t="str">
        <f t="shared" si="58"/>
        <v>Material Ordered</v>
      </c>
      <c r="L230" s="3" t="str">
        <f t="shared" si="59"/>
        <v>In Progress</v>
      </c>
      <c r="M230" s="3" t="str">
        <f t="shared" si="60"/>
        <v>Pending</v>
      </c>
      <c r="N230" s="3" t="str">
        <f t="shared" si="46"/>
        <v>In Progress</v>
      </c>
      <c r="P230" s="3">
        <f t="shared" si="47"/>
        <v>1</v>
      </c>
    </row>
    <row r="231" spans="1:16" x14ac:dyDescent="0.35">
      <c r="A231" s="3" t="str">
        <f t="shared" si="48"/>
        <v>PRJ230</v>
      </c>
      <c r="B231" s="8" t="str">
        <f t="shared" si="49"/>
        <v>Emerald Grand Hotel 230</v>
      </c>
      <c r="C231" s="3" t="str">
        <f t="shared" si="50"/>
        <v>Central Kerala</v>
      </c>
      <c r="D231" s="3" t="str">
        <f t="shared" si="51"/>
        <v>Thrissur</v>
      </c>
      <c r="E231" s="3" t="str">
        <f t="shared" si="52"/>
        <v>Apartment</v>
      </c>
      <c r="F231" s="4">
        <f t="shared" si="53"/>
        <v>32</v>
      </c>
      <c r="G231" s="6">
        <f t="shared" si="54"/>
        <v>46116</v>
      </c>
      <c r="H231" s="6">
        <f t="shared" si="55"/>
        <v>46326</v>
      </c>
      <c r="I231" s="6">
        <f t="shared" si="56"/>
        <v>46336</v>
      </c>
      <c r="J231" s="3">
        <f t="shared" si="57"/>
        <v>10</v>
      </c>
      <c r="K231" s="3" t="str">
        <f t="shared" si="58"/>
        <v>Material Delivered</v>
      </c>
      <c r="L231" s="3" t="str">
        <f t="shared" si="59"/>
        <v>In Progress</v>
      </c>
      <c r="M231" s="3" t="str">
        <f t="shared" si="60"/>
        <v>Pending</v>
      </c>
      <c r="N231" s="3" t="str">
        <f t="shared" si="46"/>
        <v>Delayed</v>
      </c>
      <c r="P231" s="3">
        <f t="shared" si="47"/>
        <v>1</v>
      </c>
    </row>
    <row r="232" spans="1:16" x14ac:dyDescent="0.35">
      <c r="A232" s="3" t="str">
        <f t="shared" si="48"/>
        <v>PRJ231</v>
      </c>
      <c r="B232" s="8" t="str">
        <f t="shared" si="49"/>
        <v>Green Valley Care Hospital 231</v>
      </c>
      <c r="C232" s="3" t="str">
        <f t="shared" si="50"/>
        <v>South Kerala</v>
      </c>
      <c r="D232" s="3" t="str">
        <f t="shared" si="51"/>
        <v>Pathanamthitta</v>
      </c>
      <c r="E232" s="3" t="str">
        <f t="shared" si="52"/>
        <v>Hospital</v>
      </c>
      <c r="F232" s="4">
        <f t="shared" si="53"/>
        <v>18</v>
      </c>
      <c r="G232" s="6">
        <f t="shared" si="54"/>
        <v>46123</v>
      </c>
      <c r="H232" s="6">
        <f t="shared" si="55"/>
        <v>46213</v>
      </c>
      <c r="I232" s="6">
        <f t="shared" si="56"/>
        <v>46208</v>
      </c>
      <c r="J232" s="3">
        <f t="shared" si="57"/>
        <v>-5</v>
      </c>
      <c r="K232" s="3" t="str">
        <f t="shared" si="58"/>
        <v>Installation Started</v>
      </c>
      <c r="L232" s="3" t="str">
        <f t="shared" si="59"/>
        <v>In Progress</v>
      </c>
      <c r="M232" s="3" t="str">
        <f t="shared" si="60"/>
        <v>Pending</v>
      </c>
      <c r="N232" s="3" t="str">
        <f t="shared" si="46"/>
        <v>Early</v>
      </c>
      <c r="P232" s="3">
        <f t="shared" si="47"/>
        <v>1</v>
      </c>
    </row>
    <row r="233" spans="1:16" x14ac:dyDescent="0.35">
      <c r="A233" s="3" t="str">
        <f t="shared" si="48"/>
        <v>PRJ232</v>
      </c>
      <c r="B233" s="8" t="str">
        <f t="shared" si="49"/>
        <v>Royal Palm Care Hospital 232</v>
      </c>
      <c r="C233" s="3" t="str">
        <f t="shared" si="50"/>
        <v>North Kerala</v>
      </c>
      <c r="D233" s="3" t="str">
        <f t="shared" si="51"/>
        <v>Kasaragod</v>
      </c>
      <c r="E233" s="3" t="str">
        <f t="shared" si="52"/>
        <v>Office</v>
      </c>
      <c r="F233" s="4">
        <f t="shared" si="53"/>
        <v>24</v>
      </c>
      <c r="G233" s="6">
        <f t="shared" si="54"/>
        <v>46130</v>
      </c>
      <c r="H233" s="6">
        <f t="shared" si="55"/>
        <v>46250</v>
      </c>
      <c r="I233" s="6">
        <f t="shared" si="56"/>
        <v>46250</v>
      </c>
      <c r="J233" s="3">
        <f t="shared" si="57"/>
        <v>0</v>
      </c>
      <c r="K233" s="3" t="str">
        <f t="shared" si="58"/>
        <v>Mechanical Completion</v>
      </c>
      <c r="L233" s="3" t="str">
        <f t="shared" si="59"/>
        <v>In Progress</v>
      </c>
      <c r="M233" s="3" t="str">
        <f t="shared" si="60"/>
        <v>Pending</v>
      </c>
      <c r="N233" s="3" t="str">
        <f t="shared" si="46"/>
        <v>On Time</v>
      </c>
      <c r="P233" s="3">
        <f t="shared" si="47"/>
        <v>1</v>
      </c>
    </row>
    <row r="234" spans="1:16" x14ac:dyDescent="0.35">
      <c r="A234" s="3" t="str">
        <f t="shared" si="48"/>
        <v>PRJ233</v>
      </c>
      <c r="B234" s="8" t="str">
        <f t="shared" si="49"/>
        <v>Skyline Care Hospital 233</v>
      </c>
      <c r="C234" s="3" t="str">
        <f t="shared" si="50"/>
        <v>Central Kerala</v>
      </c>
      <c r="D234" s="3" t="str">
        <f t="shared" si="51"/>
        <v>Idukki</v>
      </c>
      <c r="E234" s="3" t="str">
        <f t="shared" si="52"/>
        <v>Hotel</v>
      </c>
      <c r="F234" s="4">
        <f t="shared" si="53"/>
        <v>42</v>
      </c>
      <c r="G234" s="6">
        <f t="shared" si="54"/>
        <v>46137</v>
      </c>
      <c r="H234" s="6">
        <f t="shared" si="55"/>
        <v>46287</v>
      </c>
      <c r="I234" s="6" t="str">
        <f t="shared" si="56"/>
        <v/>
      </c>
      <c r="J234" s="3" t="str">
        <f t="shared" si="57"/>
        <v/>
      </c>
      <c r="K234" s="3" t="str">
        <f t="shared" si="58"/>
        <v>Testing &amp; Commissioning</v>
      </c>
      <c r="L234" s="3" t="str">
        <f t="shared" si="59"/>
        <v>In Progress</v>
      </c>
      <c r="M234" s="3" t="str">
        <f t="shared" si="60"/>
        <v>Pending</v>
      </c>
      <c r="N234" s="3" t="str">
        <f t="shared" si="46"/>
        <v>In Progress</v>
      </c>
      <c r="P234" s="3">
        <f t="shared" si="47"/>
        <v>1</v>
      </c>
    </row>
    <row r="235" spans="1:16" x14ac:dyDescent="0.35">
      <c r="A235" s="3" t="str">
        <f t="shared" si="48"/>
        <v>PRJ234</v>
      </c>
      <c r="B235" s="8" t="str">
        <f t="shared" si="49"/>
        <v>Harmony Care Hospital 234</v>
      </c>
      <c r="C235" s="3" t="str">
        <f t="shared" si="50"/>
        <v>South Kerala</v>
      </c>
      <c r="D235" s="3" t="str">
        <f t="shared" si="51"/>
        <v>Kollam</v>
      </c>
      <c r="E235" s="3" t="str">
        <f t="shared" si="52"/>
        <v>Commercial</v>
      </c>
      <c r="F235" s="4">
        <f t="shared" si="53"/>
        <v>65</v>
      </c>
      <c r="G235" s="6">
        <f t="shared" si="54"/>
        <v>46144</v>
      </c>
      <c r="H235" s="6">
        <f t="shared" si="55"/>
        <v>46324</v>
      </c>
      <c r="I235" s="6">
        <f t="shared" si="56"/>
        <v>46322</v>
      </c>
      <c r="J235" s="3">
        <f t="shared" si="57"/>
        <v>-2</v>
      </c>
      <c r="K235" s="3" t="str">
        <f t="shared" si="58"/>
        <v>Handover</v>
      </c>
      <c r="L235" s="3" t="str">
        <f t="shared" si="59"/>
        <v>Completed</v>
      </c>
      <c r="M235" s="3" t="str">
        <f t="shared" si="60"/>
        <v>Completed</v>
      </c>
      <c r="N235" s="3" t="str">
        <f t="shared" si="46"/>
        <v>Early</v>
      </c>
      <c r="P235" s="3">
        <f t="shared" si="47"/>
        <v>1</v>
      </c>
    </row>
    <row r="236" spans="1:16" x14ac:dyDescent="0.35">
      <c r="A236" s="3" t="str">
        <f t="shared" si="48"/>
        <v>PRJ235</v>
      </c>
      <c r="B236" s="8" t="str">
        <f t="shared" si="49"/>
        <v>Lakeside Care Hospital 235</v>
      </c>
      <c r="C236" s="3" t="str">
        <f t="shared" si="50"/>
        <v>North Kerala</v>
      </c>
      <c r="D236" s="3" t="str">
        <f t="shared" si="51"/>
        <v>Wayanad</v>
      </c>
      <c r="E236" s="3" t="str">
        <f t="shared" si="52"/>
        <v>Residential</v>
      </c>
      <c r="F236" s="4">
        <f t="shared" si="53"/>
        <v>38</v>
      </c>
      <c r="G236" s="6">
        <f t="shared" si="54"/>
        <v>46151</v>
      </c>
      <c r="H236" s="6">
        <f t="shared" si="55"/>
        <v>46361</v>
      </c>
      <c r="I236" s="6">
        <f t="shared" si="56"/>
        <v>46371</v>
      </c>
      <c r="J236" s="3">
        <f t="shared" si="57"/>
        <v>10</v>
      </c>
      <c r="K236" s="3" t="str">
        <f t="shared" si="58"/>
        <v>Material Ordered</v>
      </c>
      <c r="L236" s="3" t="str">
        <f t="shared" si="59"/>
        <v>In Progress</v>
      </c>
      <c r="M236" s="3" t="str">
        <f t="shared" si="60"/>
        <v>Pending</v>
      </c>
      <c r="N236" s="3" t="str">
        <f t="shared" si="46"/>
        <v>Delayed</v>
      </c>
      <c r="P236" s="3">
        <f t="shared" si="47"/>
        <v>1</v>
      </c>
    </row>
    <row r="237" spans="1:16" x14ac:dyDescent="0.35">
      <c r="A237" s="3" t="str">
        <f t="shared" si="48"/>
        <v>PRJ236</v>
      </c>
      <c r="B237" s="8" t="str">
        <f t="shared" si="49"/>
        <v>Sunrise Care Hospital 236</v>
      </c>
      <c r="C237" s="3" t="str">
        <f t="shared" si="50"/>
        <v>Central Kerala</v>
      </c>
      <c r="D237" s="3" t="str">
        <f t="shared" si="51"/>
        <v>Thrissur</v>
      </c>
      <c r="E237" s="3" t="str">
        <f t="shared" si="52"/>
        <v>Apartment</v>
      </c>
      <c r="F237" s="4">
        <f t="shared" si="53"/>
        <v>55</v>
      </c>
      <c r="G237" s="6">
        <f t="shared" si="54"/>
        <v>46158</v>
      </c>
      <c r="H237" s="6">
        <f t="shared" si="55"/>
        <v>46248</v>
      </c>
      <c r="I237" s="6">
        <f t="shared" si="56"/>
        <v>46243</v>
      </c>
      <c r="J237" s="3">
        <f t="shared" si="57"/>
        <v>-5</v>
      </c>
      <c r="K237" s="3" t="str">
        <f t="shared" si="58"/>
        <v>Material Delivered</v>
      </c>
      <c r="L237" s="3" t="str">
        <f t="shared" si="59"/>
        <v>In Progress</v>
      </c>
      <c r="M237" s="3" t="str">
        <f t="shared" si="60"/>
        <v>Pending</v>
      </c>
      <c r="N237" s="3" t="str">
        <f t="shared" si="46"/>
        <v>Early</v>
      </c>
      <c r="P237" s="3">
        <f t="shared" si="47"/>
        <v>1</v>
      </c>
    </row>
    <row r="238" spans="1:16" x14ac:dyDescent="0.35">
      <c r="A238" s="3" t="str">
        <f t="shared" si="48"/>
        <v>PRJ237</v>
      </c>
      <c r="B238" s="8" t="str">
        <f t="shared" si="49"/>
        <v>Silver Oak Care Hospital 237</v>
      </c>
      <c r="C238" s="3" t="str">
        <f t="shared" si="50"/>
        <v>South Kerala</v>
      </c>
      <c r="D238" s="3" t="str">
        <f t="shared" si="51"/>
        <v>Trivandrum</v>
      </c>
      <c r="E238" s="3" t="str">
        <f t="shared" si="52"/>
        <v>Hospital</v>
      </c>
      <c r="F238" s="4">
        <f t="shared" si="53"/>
        <v>27</v>
      </c>
      <c r="G238" s="6">
        <f t="shared" si="54"/>
        <v>46165</v>
      </c>
      <c r="H238" s="6">
        <f t="shared" si="55"/>
        <v>46285</v>
      </c>
      <c r="I238" s="6" t="str">
        <f t="shared" si="56"/>
        <v/>
      </c>
      <c r="J238" s="3" t="str">
        <f t="shared" si="57"/>
        <v/>
      </c>
      <c r="K238" s="3" t="str">
        <f t="shared" si="58"/>
        <v>Installation Started</v>
      </c>
      <c r="L238" s="3" t="str">
        <f t="shared" si="59"/>
        <v>In Progress</v>
      </c>
      <c r="M238" s="3" t="str">
        <f t="shared" si="60"/>
        <v>Pending</v>
      </c>
      <c r="N238" s="3" t="str">
        <f t="shared" si="46"/>
        <v>In Progress</v>
      </c>
      <c r="P238" s="3">
        <f t="shared" si="47"/>
        <v>1</v>
      </c>
    </row>
    <row r="239" spans="1:16" x14ac:dyDescent="0.35">
      <c r="A239" s="3" t="str">
        <f t="shared" si="48"/>
        <v>PRJ238</v>
      </c>
      <c r="B239" s="8" t="str">
        <f t="shared" si="49"/>
        <v>River View Care Hospital 238</v>
      </c>
      <c r="C239" s="3" t="str">
        <f t="shared" si="50"/>
        <v>North Kerala</v>
      </c>
      <c r="D239" s="3" t="str">
        <f t="shared" si="51"/>
        <v>Kozhikode</v>
      </c>
      <c r="E239" s="3" t="str">
        <f t="shared" si="52"/>
        <v>Office</v>
      </c>
      <c r="F239" s="4">
        <f t="shared" si="53"/>
        <v>21</v>
      </c>
      <c r="G239" s="6">
        <f t="shared" si="54"/>
        <v>46172</v>
      </c>
      <c r="H239" s="6">
        <f t="shared" si="55"/>
        <v>46322</v>
      </c>
      <c r="I239" s="6">
        <f t="shared" si="56"/>
        <v>46329</v>
      </c>
      <c r="J239" s="3">
        <f t="shared" si="57"/>
        <v>7</v>
      </c>
      <c r="K239" s="3" t="str">
        <f t="shared" si="58"/>
        <v>Mechanical Completion</v>
      </c>
      <c r="L239" s="3" t="str">
        <f t="shared" si="59"/>
        <v>In Progress</v>
      </c>
      <c r="M239" s="3" t="str">
        <f t="shared" si="60"/>
        <v>Pending</v>
      </c>
      <c r="N239" s="3" t="str">
        <f t="shared" si="46"/>
        <v>Delayed</v>
      </c>
      <c r="P239" s="3">
        <f t="shared" si="47"/>
        <v>1</v>
      </c>
    </row>
    <row r="240" spans="1:16" x14ac:dyDescent="0.35">
      <c r="A240" s="3" t="str">
        <f t="shared" si="48"/>
        <v>PRJ239</v>
      </c>
      <c r="B240" s="8" t="str">
        <f t="shared" si="49"/>
        <v>Golden Gate Care Hospital 239</v>
      </c>
      <c r="C240" s="3" t="str">
        <f t="shared" si="50"/>
        <v>Central Kerala</v>
      </c>
      <c r="D240" s="3" t="str">
        <f t="shared" si="51"/>
        <v>Idukki</v>
      </c>
      <c r="E240" s="3" t="str">
        <f t="shared" si="52"/>
        <v>Hotel</v>
      </c>
      <c r="F240" s="4">
        <f t="shared" si="53"/>
        <v>48</v>
      </c>
      <c r="G240" s="6">
        <f t="shared" si="54"/>
        <v>46179</v>
      </c>
      <c r="H240" s="6">
        <f t="shared" si="55"/>
        <v>46359</v>
      </c>
      <c r="I240" s="6">
        <f t="shared" si="56"/>
        <v>46357</v>
      </c>
      <c r="J240" s="3">
        <f t="shared" si="57"/>
        <v>-2</v>
      </c>
      <c r="K240" s="3" t="str">
        <f t="shared" si="58"/>
        <v>Testing &amp; Commissioning</v>
      </c>
      <c r="L240" s="3" t="str">
        <f t="shared" si="59"/>
        <v>In Progress</v>
      </c>
      <c r="M240" s="3" t="str">
        <f t="shared" si="60"/>
        <v>Pending</v>
      </c>
      <c r="N240" s="3" t="str">
        <f t="shared" si="46"/>
        <v>Early</v>
      </c>
      <c r="P240" s="3">
        <f t="shared" si="47"/>
        <v>1</v>
      </c>
    </row>
    <row r="241" spans="1:16" x14ac:dyDescent="0.35">
      <c r="A241" s="3" t="str">
        <f t="shared" si="48"/>
        <v>PRJ240</v>
      </c>
      <c r="B241" s="8" t="str">
        <f t="shared" si="49"/>
        <v>Emerald Care Hospital 240</v>
      </c>
      <c r="C241" s="3" t="str">
        <f t="shared" si="50"/>
        <v>South Kerala</v>
      </c>
      <c r="D241" s="3" t="str">
        <f t="shared" si="51"/>
        <v>Alappuzha</v>
      </c>
      <c r="E241" s="3" t="str">
        <f t="shared" si="52"/>
        <v>Commercial</v>
      </c>
      <c r="F241" s="4">
        <f t="shared" si="53"/>
        <v>32</v>
      </c>
      <c r="G241" s="6">
        <f t="shared" si="54"/>
        <v>46186</v>
      </c>
      <c r="H241" s="6">
        <f t="shared" si="55"/>
        <v>46396</v>
      </c>
      <c r="I241" s="6">
        <f t="shared" si="56"/>
        <v>46406</v>
      </c>
      <c r="J241" s="3">
        <f t="shared" si="57"/>
        <v>10</v>
      </c>
      <c r="K241" s="3" t="str">
        <f t="shared" si="58"/>
        <v>Handover</v>
      </c>
      <c r="L241" s="3" t="str">
        <f t="shared" si="59"/>
        <v>Completed</v>
      </c>
      <c r="M241" s="3" t="str">
        <f t="shared" si="60"/>
        <v>Completed</v>
      </c>
      <c r="N241" s="3" t="str">
        <f t="shared" si="46"/>
        <v>Delayed</v>
      </c>
      <c r="P241" s="3">
        <f t="shared" si="47"/>
        <v>1</v>
      </c>
    </row>
    <row r="242" spans="1:16" x14ac:dyDescent="0.35">
      <c r="A242" s="3" t="str">
        <f t="shared" si="48"/>
        <v>PRJ241</v>
      </c>
      <c r="B242" s="8" t="str">
        <f t="shared" si="49"/>
        <v>Green Valley Residency 241</v>
      </c>
      <c r="C242" s="3" t="str">
        <f t="shared" si="50"/>
        <v>North Kerala</v>
      </c>
      <c r="D242" s="3" t="str">
        <f t="shared" si="51"/>
        <v>Kannur</v>
      </c>
      <c r="E242" s="3" t="str">
        <f t="shared" si="52"/>
        <v>Residential</v>
      </c>
      <c r="F242" s="4">
        <f t="shared" si="53"/>
        <v>18</v>
      </c>
      <c r="G242" s="6">
        <f t="shared" si="54"/>
        <v>46193</v>
      </c>
      <c r="H242" s="6">
        <f t="shared" si="55"/>
        <v>46283</v>
      </c>
      <c r="I242" s="6" t="str">
        <f t="shared" si="56"/>
        <v/>
      </c>
      <c r="J242" s="3" t="str">
        <f t="shared" si="57"/>
        <v/>
      </c>
      <c r="K242" s="3" t="str">
        <f t="shared" si="58"/>
        <v>Material Ordered</v>
      </c>
      <c r="L242" s="3" t="str">
        <f t="shared" si="59"/>
        <v>In Progress</v>
      </c>
      <c r="M242" s="3" t="str">
        <f t="shared" si="60"/>
        <v>Pending</v>
      </c>
      <c r="N242" s="3" t="str">
        <f t="shared" si="46"/>
        <v>In Progress</v>
      </c>
      <c r="P242" s="3">
        <f t="shared" si="47"/>
        <v>1</v>
      </c>
    </row>
    <row r="243" spans="1:16" x14ac:dyDescent="0.35">
      <c r="A243" s="3" t="str">
        <f t="shared" si="48"/>
        <v>PRJ242</v>
      </c>
      <c r="B243" s="8" t="str">
        <f t="shared" si="49"/>
        <v>Royal Palm Residency 242</v>
      </c>
      <c r="C243" s="3" t="str">
        <f t="shared" si="50"/>
        <v>Central Kerala</v>
      </c>
      <c r="D243" s="3" t="str">
        <f t="shared" si="51"/>
        <v>Thrissur</v>
      </c>
      <c r="E243" s="3" t="str">
        <f t="shared" si="52"/>
        <v>Apartment</v>
      </c>
      <c r="F243" s="4">
        <f t="shared" si="53"/>
        <v>24</v>
      </c>
      <c r="G243" s="6">
        <f t="shared" si="54"/>
        <v>46200</v>
      </c>
      <c r="H243" s="6">
        <f t="shared" si="55"/>
        <v>46320</v>
      </c>
      <c r="I243" s="6">
        <f t="shared" si="56"/>
        <v>46320</v>
      </c>
      <c r="J243" s="3">
        <f t="shared" si="57"/>
        <v>0</v>
      </c>
      <c r="K243" s="3" t="str">
        <f t="shared" si="58"/>
        <v>Material Delivered</v>
      </c>
      <c r="L243" s="3" t="str">
        <f t="shared" si="59"/>
        <v>In Progress</v>
      </c>
      <c r="M243" s="3" t="str">
        <f t="shared" si="60"/>
        <v>Pending</v>
      </c>
      <c r="N243" s="3" t="str">
        <f t="shared" si="46"/>
        <v>On Time</v>
      </c>
      <c r="P243" s="3">
        <f t="shared" si="47"/>
        <v>1</v>
      </c>
    </row>
    <row r="244" spans="1:16" x14ac:dyDescent="0.35">
      <c r="A244" s="3" t="str">
        <f t="shared" si="48"/>
        <v>PRJ243</v>
      </c>
      <c r="B244" s="8" t="str">
        <f t="shared" si="49"/>
        <v>Skyline Residency 243</v>
      </c>
      <c r="C244" s="3" t="str">
        <f t="shared" si="50"/>
        <v>South Kerala</v>
      </c>
      <c r="D244" s="3" t="str">
        <f t="shared" si="51"/>
        <v>Pathanamthitta</v>
      </c>
      <c r="E244" s="3" t="str">
        <f t="shared" si="52"/>
        <v>Hospital</v>
      </c>
      <c r="F244" s="4">
        <f t="shared" si="53"/>
        <v>42</v>
      </c>
      <c r="G244" s="6">
        <f t="shared" si="54"/>
        <v>46027</v>
      </c>
      <c r="H244" s="6">
        <f t="shared" si="55"/>
        <v>46177</v>
      </c>
      <c r="I244" s="6">
        <f t="shared" si="56"/>
        <v>46184</v>
      </c>
      <c r="J244" s="3">
        <f t="shared" si="57"/>
        <v>7</v>
      </c>
      <c r="K244" s="3" t="str">
        <f t="shared" si="58"/>
        <v>Installation Started</v>
      </c>
      <c r="L244" s="3" t="str">
        <f t="shared" si="59"/>
        <v>In Progress</v>
      </c>
      <c r="M244" s="3" t="str">
        <f t="shared" si="60"/>
        <v>Pending</v>
      </c>
      <c r="N244" s="3" t="str">
        <f t="shared" si="46"/>
        <v>Delayed</v>
      </c>
      <c r="P244" s="3">
        <f t="shared" si="47"/>
        <v>1</v>
      </c>
    </row>
    <row r="245" spans="1:16" x14ac:dyDescent="0.35">
      <c r="A245" s="3" t="str">
        <f t="shared" si="48"/>
        <v>PRJ244</v>
      </c>
      <c r="B245" s="8" t="str">
        <f t="shared" si="49"/>
        <v>Harmony Residency 244</v>
      </c>
      <c r="C245" s="3" t="str">
        <f t="shared" si="50"/>
        <v>North Kerala</v>
      </c>
      <c r="D245" s="3" t="str">
        <f t="shared" si="51"/>
        <v>Kasaragod</v>
      </c>
      <c r="E245" s="3" t="str">
        <f t="shared" si="52"/>
        <v>Office</v>
      </c>
      <c r="F245" s="4">
        <f t="shared" si="53"/>
        <v>65</v>
      </c>
      <c r="G245" s="6">
        <f t="shared" si="54"/>
        <v>46034</v>
      </c>
      <c r="H245" s="6">
        <f t="shared" si="55"/>
        <v>46214</v>
      </c>
      <c r="I245" s="6">
        <f t="shared" si="56"/>
        <v>46212</v>
      </c>
      <c r="J245" s="3">
        <f t="shared" si="57"/>
        <v>-2</v>
      </c>
      <c r="K245" s="3" t="str">
        <f t="shared" si="58"/>
        <v>Mechanical Completion</v>
      </c>
      <c r="L245" s="3" t="str">
        <f t="shared" si="59"/>
        <v>In Progress</v>
      </c>
      <c r="M245" s="3" t="str">
        <f t="shared" si="60"/>
        <v>Pending</v>
      </c>
      <c r="N245" s="3" t="str">
        <f t="shared" si="46"/>
        <v>Early</v>
      </c>
      <c r="P245" s="3">
        <f t="shared" si="47"/>
        <v>1</v>
      </c>
    </row>
    <row r="246" spans="1:16" x14ac:dyDescent="0.35">
      <c r="A246" s="3" t="str">
        <f t="shared" si="48"/>
        <v>PRJ245</v>
      </c>
      <c r="B246" s="8" t="str">
        <f t="shared" si="49"/>
        <v>Lakeside Residency 245</v>
      </c>
      <c r="C246" s="3" t="str">
        <f t="shared" si="50"/>
        <v>Central Kerala</v>
      </c>
      <c r="D246" s="3" t="str">
        <f t="shared" si="51"/>
        <v>Idukki</v>
      </c>
      <c r="E246" s="3" t="str">
        <f t="shared" si="52"/>
        <v>Hotel</v>
      </c>
      <c r="F246" s="4">
        <f t="shared" si="53"/>
        <v>38</v>
      </c>
      <c r="G246" s="6">
        <f t="shared" si="54"/>
        <v>46041</v>
      </c>
      <c r="H246" s="6">
        <f t="shared" si="55"/>
        <v>46251</v>
      </c>
      <c r="I246" s="6" t="str">
        <f t="shared" si="56"/>
        <v/>
      </c>
      <c r="J246" s="3" t="str">
        <f t="shared" si="57"/>
        <v/>
      </c>
      <c r="K246" s="3" t="str">
        <f t="shared" si="58"/>
        <v>Testing &amp; Commissioning</v>
      </c>
      <c r="L246" s="3" t="str">
        <f t="shared" si="59"/>
        <v>In Progress</v>
      </c>
      <c r="M246" s="3" t="str">
        <f t="shared" si="60"/>
        <v>Pending</v>
      </c>
      <c r="N246" s="3" t="str">
        <f t="shared" si="46"/>
        <v>In Progress</v>
      </c>
      <c r="P246" s="3">
        <f t="shared" si="47"/>
        <v>1</v>
      </c>
    </row>
    <row r="247" spans="1:16" x14ac:dyDescent="0.35">
      <c r="A247" s="3" t="str">
        <f t="shared" si="48"/>
        <v>PRJ246</v>
      </c>
      <c r="B247" s="8" t="str">
        <f t="shared" si="49"/>
        <v>Sunrise Residency 246</v>
      </c>
      <c r="C247" s="3" t="str">
        <f t="shared" si="50"/>
        <v>South Kerala</v>
      </c>
      <c r="D247" s="3" t="str">
        <f t="shared" si="51"/>
        <v>Kollam</v>
      </c>
      <c r="E247" s="3" t="str">
        <f t="shared" si="52"/>
        <v>Commercial</v>
      </c>
      <c r="F247" s="4">
        <f t="shared" si="53"/>
        <v>55</v>
      </c>
      <c r="G247" s="6">
        <f t="shared" si="54"/>
        <v>46048</v>
      </c>
      <c r="H247" s="6">
        <f t="shared" si="55"/>
        <v>46138</v>
      </c>
      <c r="I247" s="6">
        <f t="shared" si="56"/>
        <v>46133</v>
      </c>
      <c r="J247" s="3">
        <f t="shared" si="57"/>
        <v>-5</v>
      </c>
      <c r="K247" s="3" t="str">
        <f t="shared" si="58"/>
        <v>Handover</v>
      </c>
      <c r="L247" s="3" t="str">
        <f t="shared" si="59"/>
        <v>Completed</v>
      </c>
      <c r="M247" s="3" t="str">
        <f t="shared" si="60"/>
        <v>Completed</v>
      </c>
      <c r="N247" s="3" t="str">
        <f t="shared" si="46"/>
        <v>Early</v>
      </c>
      <c r="P247" s="3">
        <f t="shared" si="47"/>
        <v>1</v>
      </c>
    </row>
    <row r="248" spans="1:16" x14ac:dyDescent="0.35">
      <c r="A248" s="3" t="str">
        <f t="shared" si="48"/>
        <v>PRJ247</v>
      </c>
      <c r="B248" s="8" t="str">
        <f t="shared" si="49"/>
        <v>Silver Oak Residency 247</v>
      </c>
      <c r="C248" s="3" t="str">
        <f t="shared" si="50"/>
        <v>North Kerala</v>
      </c>
      <c r="D248" s="3" t="str">
        <f t="shared" si="51"/>
        <v>Wayanad</v>
      </c>
      <c r="E248" s="3" t="str">
        <f t="shared" si="52"/>
        <v>Residential</v>
      </c>
      <c r="F248" s="4">
        <f t="shared" si="53"/>
        <v>27</v>
      </c>
      <c r="G248" s="6">
        <f t="shared" si="54"/>
        <v>46055</v>
      </c>
      <c r="H248" s="6">
        <f t="shared" si="55"/>
        <v>46175</v>
      </c>
      <c r="I248" s="6">
        <f t="shared" si="56"/>
        <v>46175</v>
      </c>
      <c r="J248" s="3">
        <f t="shared" si="57"/>
        <v>0</v>
      </c>
      <c r="K248" s="3" t="str">
        <f t="shared" si="58"/>
        <v>Material Ordered</v>
      </c>
      <c r="L248" s="3" t="str">
        <f t="shared" si="59"/>
        <v>In Progress</v>
      </c>
      <c r="M248" s="3" t="str">
        <f t="shared" si="60"/>
        <v>Pending</v>
      </c>
      <c r="N248" s="3" t="str">
        <f t="shared" si="46"/>
        <v>On Time</v>
      </c>
      <c r="P248" s="3">
        <f t="shared" si="47"/>
        <v>1</v>
      </c>
    </row>
    <row r="249" spans="1:16" x14ac:dyDescent="0.35">
      <c r="A249" s="3" t="str">
        <f t="shared" si="48"/>
        <v>PRJ248</v>
      </c>
      <c r="B249" s="8" t="str">
        <f t="shared" si="49"/>
        <v>River View Residency 248</v>
      </c>
      <c r="C249" s="3" t="str">
        <f t="shared" si="50"/>
        <v>Central Kerala</v>
      </c>
      <c r="D249" s="3" t="str">
        <f t="shared" si="51"/>
        <v>Thrissur</v>
      </c>
      <c r="E249" s="3" t="str">
        <f t="shared" si="52"/>
        <v>Apartment</v>
      </c>
      <c r="F249" s="4">
        <f t="shared" si="53"/>
        <v>21</v>
      </c>
      <c r="G249" s="6">
        <f t="shared" si="54"/>
        <v>46062</v>
      </c>
      <c r="H249" s="6">
        <f t="shared" si="55"/>
        <v>46212</v>
      </c>
      <c r="I249" s="6">
        <f t="shared" si="56"/>
        <v>46219</v>
      </c>
      <c r="J249" s="3">
        <f t="shared" si="57"/>
        <v>7</v>
      </c>
      <c r="K249" s="3" t="str">
        <f t="shared" si="58"/>
        <v>Material Delivered</v>
      </c>
      <c r="L249" s="3" t="str">
        <f t="shared" si="59"/>
        <v>In Progress</v>
      </c>
      <c r="M249" s="3" t="str">
        <f t="shared" si="60"/>
        <v>Pending</v>
      </c>
      <c r="N249" s="3" t="str">
        <f t="shared" si="46"/>
        <v>Delayed</v>
      </c>
      <c r="P249" s="3">
        <f t="shared" si="47"/>
        <v>1</v>
      </c>
    </row>
    <row r="250" spans="1:16" x14ac:dyDescent="0.35">
      <c r="A250" s="3" t="str">
        <f t="shared" si="48"/>
        <v>PRJ249</v>
      </c>
      <c r="B250" s="8" t="str">
        <f t="shared" si="49"/>
        <v>Golden Gate Residency 249</v>
      </c>
      <c r="C250" s="3" t="str">
        <f t="shared" si="50"/>
        <v>South Kerala</v>
      </c>
      <c r="D250" s="3" t="str">
        <f t="shared" si="51"/>
        <v>Trivandrum</v>
      </c>
      <c r="E250" s="3" t="str">
        <f t="shared" si="52"/>
        <v>Hospital</v>
      </c>
      <c r="F250" s="4">
        <f t="shared" si="53"/>
        <v>48</v>
      </c>
      <c r="G250" s="6">
        <f t="shared" si="54"/>
        <v>46069</v>
      </c>
      <c r="H250" s="6">
        <f t="shared" si="55"/>
        <v>46249</v>
      </c>
      <c r="I250" s="6" t="str">
        <f t="shared" si="56"/>
        <v/>
      </c>
      <c r="J250" s="3" t="str">
        <f t="shared" si="57"/>
        <v/>
      </c>
      <c r="K250" s="3" t="str">
        <f t="shared" si="58"/>
        <v>Installation Started</v>
      </c>
      <c r="L250" s="3" t="str">
        <f t="shared" si="59"/>
        <v>In Progress</v>
      </c>
      <c r="M250" s="3" t="str">
        <f t="shared" si="60"/>
        <v>Pending</v>
      </c>
      <c r="N250" s="3" t="str">
        <f t="shared" si="46"/>
        <v>In Progress</v>
      </c>
      <c r="P250" s="3">
        <f t="shared" si="47"/>
        <v>1</v>
      </c>
    </row>
    <row r="251" spans="1:16" x14ac:dyDescent="0.35">
      <c r="A251" s="3" t="str">
        <f t="shared" si="48"/>
        <v>PRJ250</v>
      </c>
      <c r="B251" s="8" t="str">
        <f t="shared" si="49"/>
        <v>Emerald Residency 250</v>
      </c>
      <c r="C251" s="3" t="str">
        <f t="shared" si="50"/>
        <v>North Kerala</v>
      </c>
      <c r="D251" s="3" t="str">
        <f t="shared" si="51"/>
        <v>Kozhikode</v>
      </c>
      <c r="E251" s="3" t="str">
        <f t="shared" si="52"/>
        <v>Office</v>
      </c>
      <c r="F251" s="4">
        <f t="shared" si="53"/>
        <v>32</v>
      </c>
      <c r="G251" s="6">
        <f t="shared" si="54"/>
        <v>46076</v>
      </c>
      <c r="H251" s="6">
        <f t="shared" si="55"/>
        <v>46286</v>
      </c>
      <c r="I251" s="6">
        <f t="shared" si="56"/>
        <v>46296</v>
      </c>
      <c r="J251" s="3">
        <f t="shared" si="57"/>
        <v>10</v>
      </c>
      <c r="K251" s="3" t="str">
        <f t="shared" si="58"/>
        <v>Mechanical Completion</v>
      </c>
      <c r="L251" s="3" t="str">
        <f t="shared" si="59"/>
        <v>In Progress</v>
      </c>
      <c r="M251" s="3" t="str">
        <f t="shared" si="60"/>
        <v>Pending</v>
      </c>
      <c r="N251" s="3" t="str">
        <f t="shared" si="46"/>
        <v>Delayed</v>
      </c>
      <c r="P251" s="3">
        <f t="shared" si="47"/>
        <v>1</v>
      </c>
    </row>
    <row r="252" spans="1:16" x14ac:dyDescent="0.35">
      <c r="A252" s="3" t="str">
        <f t="shared" si="48"/>
        <v>PRJ251</v>
      </c>
      <c r="B252" s="8" t="str">
        <f t="shared" si="49"/>
        <v>Green Valley Apartments 251</v>
      </c>
      <c r="C252" s="3" t="str">
        <f t="shared" si="50"/>
        <v>Central Kerala</v>
      </c>
      <c r="D252" s="3" t="str">
        <f t="shared" si="51"/>
        <v>Idukki</v>
      </c>
      <c r="E252" s="3" t="str">
        <f t="shared" si="52"/>
        <v>Hotel</v>
      </c>
      <c r="F252" s="4">
        <f t="shared" si="53"/>
        <v>18</v>
      </c>
      <c r="G252" s="6">
        <f t="shared" si="54"/>
        <v>46083</v>
      </c>
      <c r="H252" s="6">
        <f t="shared" si="55"/>
        <v>46173</v>
      </c>
      <c r="I252" s="6">
        <f t="shared" si="56"/>
        <v>46168</v>
      </c>
      <c r="J252" s="3">
        <f t="shared" si="57"/>
        <v>-5</v>
      </c>
      <c r="K252" s="3" t="str">
        <f t="shared" si="58"/>
        <v>Testing &amp; Commissioning</v>
      </c>
      <c r="L252" s="3" t="str">
        <f t="shared" si="59"/>
        <v>In Progress</v>
      </c>
      <c r="M252" s="3" t="str">
        <f t="shared" si="60"/>
        <v>Pending</v>
      </c>
      <c r="N252" s="3" t="str">
        <f t="shared" si="46"/>
        <v>Early</v>
      </c>
      <c r="P252" s="3">
        <f t="shared" si="47"/>
        <v>1</v>
      </c>
    </row>
    <row r="253" spans="1:16" x14ac:dyDescent="0.35">
      <c r="A253" s="3" t="str">
        <f t="shared" si="48"/>
        <v>PRJ252</v>
      </c>
      <c r="B253" s="8" t="str">
        <f t="shared" si="49"/>
        <v>Royal Palm Apartments 252</v>
      </c>
      <c r="C253" s="3" t="str">
        <f t="shared" si="50"/>
        <v>South Kerala</v>
      </c>
      <c r="D253" s="3" t="str">
        <f t="shared" si="51"/>
        <v>Alappuzha</v>
      </c>
      <c r="E253" s="3" t="str">
        <f t="shared" si="52"/>
        <v>Commercial</v>
      </c>
      <c r="F253" s="4">
        <f t="shared" si="53"/>
        <v>24</v>
      </c>
      <c r="G253" s="6">
        <f t="shared" si="54"/>
        <v>46090</v>
      </c>
      <c r="H253" s="6">
        <f t="shared" si="55"/>
        <v>46210</v>
      </c>
      <c r="I253" s="6">
        <f t="shared" si="56"/>
        <v>46210</v>
      </c>
      <c r="J253" s="3">
        <f t="shared" si="57"/>
        <v>0</v>
      </c>
      <c r="K253" s="3" t="str">
        <f t="shared" si="58"/>
        <v>Handover</v>
      </c>
      <c r="L253" s="3" t="str">
        <f t="shared" si="59"/>
        <v>Completed</v>
      </c>
      <c r="M253" s="3" t="str">
        <f t="shared" si="60"/>
        <v>Completed</v>
      </c>
      <c r="N253" s="3" t="str">
        <f t="shared" si="46"/>
        <v>On Time</v>
      </c>
      <c r="P253" s="3">
        <f t="shared" si="47"/>
        <v>1</v>
      </c>
    </row>
    <row r="254" spans="1:16" x14ac:dyDescent="0.35">
      <c r="A254" s="3" t="str">
        <f t="shared" si="48"/>
        <v>PRJ253</v>
      </c>
      <c r="B254" s="8" t="str">
        <f t="shared" si="49"/>
        <v>Skyline Apartments 253</v>
      </c>
      <c r="C254" s="3" t="str">
        <f t="shared" si="50"/>
        <v>North Kerala</v>
      </c>
      <c r="D254" s="3" t="str">
        <f t="shared" si="51"/>
        <v>Kannur</v>
      </c>
      <c r="E254" s="3" t="str">
        <f t="shared" si="52"/>
        <v>Residential</v>
      </c>
      <c r="F254" s="4">
        <f t="shared" si="53"/>
        <v>42</v>
      </c>
      <c r="G254" s="6">
        <f t="shared" si="54"/>
        <v>46097</v>
      </c>
      <c r="H254" s="6">
        <f t="shared" si="55"/>
        <v>46247</v>
      </c>
      <c r="I254" s="6" t="str">
        <f t="shared" si="56"/>
        <v/>
      </c>
      <c r="J254" s="3" t="str">
        <f t="shared" si="57"/>
        <v/>
      </c>
      <c r="K254" s="3" t="str">
        <f t="shared" si="58"/>
        <v>Material Ordered</v>
      </c>
      <c r="L254" s="3" t="str">
        <f t="shared" si="59"/>
        <v>In Progress</v>
      </c>
      <c r="M254" s="3" t="str">
        <f t="shared" si="60"/>
        <v>Pending</v>
      </c>
      <c r="N254" s="3" t="str">
        <f t="shared" si="46"/>
        <v>In Progress</v>
      </c>
      <c r="P254" s="3">
        <f t="shared" si="47"/>
        <v>1</v>
      </c>
    </row>
    <row r="255" spans="1:16" x14ac:dyDescent="0.35">
      <c r="A255" s="3" t="str">
        <f t="shared" si="48"/>
        <v>PRJ254</v>
      </c>
      <c r="B255" s="8" t="str">
        <f t="shared" si="49"/>
        <v>Harmony Apartments 254</v>
      </c>
      <c r="C255" s="3" t="str">
        <f t="shared" si="50"/>
        <v>Central Kerala</v>
      </c>
      <c r="D255" s="3" t="str">
        <f t="shared" si="51"/>
        <v>Thrissur</v>
      </c>
      <c r="E255" s="3" t="str">
        <f t="shared" si="52"/>
        <v>Apartment</v>
      </c>
      <c r="F255" s="4">
        <f t="shared" si="53"/>
        <v>65</v>
      </c>
      <c r="G255" s="6">
        <f t="shared" si="54"/>
        <v>46104</v>
      </c>
      <c r="H255" s="6">
        <f t="shared" si="55"/>
        <v>46284</v>
      </c>
      <c r="I255" s="6">
        <f t="shared" si="56"/>
        <v>46282</v>
      </c>
      <c r="J255" s="3">
        <f t="shared" si="57"/>
        <v>-2</v>
      </c>
      <c r="K255" s="3" t="str">
        <f t="shared" si="58"/>
        <v>Material Delivered</v>
      </c>
      <c r="L255" s="3" t="str">
        <f t="shared" si="59"/>
        <v>In Progress</v>
      </c>
      <c r="M255" s="3" t="str">
        <f t="shared" si="60"/>
        <v>Pending</v>
      </c>
      <c r="N255" s="3" t="str">
        <f t="shared" si="46"/>
        <v>Early</v>
      </c>
      <c r="P255" s="3">
        <f t="shared" si="47"/>
        <v>1</v>
      </c>
    </row>
    <row r="256" spans="1:16" x14ac:dyDescent="0.35">
      <c r="A256" s="3" t="str">
        <f t="shared" si="48"/>
        <v>PRJ255</v>
      </c>
      <c r="B256" s="8" t="str">
        <f t="shared" si="49"/>
        <v>Lakeside Apartments 255</v>
      </c>
      <c r="C256" s="3" t="str">
        <f t="shared" si="50"/>
        <v>South Kerala</v>
      </c>
      <c r="D256" s="3" t="str">
        <f t="shared" si="51"/>
        <v>Pathanamthitta</v>
      </c>
      <c r="E256" s="3" t="str">
        <f t="shared" si="52"/>
        <v>Hospital</v>
      </c>
      <c r="F256" s="4">
        <f t="shared" si="53"/>
        <v>38</v>
      </c>
      <c r="G256" s="6">
        <f t="shared" si="54"/>
        <v>46111</v>
      </c>
      <c r="H256" s="6">
        <f t="shared" si="55"/>
        <v>46321</v>
      </c>
      <c r="I256" s="6">
        <f t="shared" si="56"/>
        <v>46331</v>
      </c>
      <c r="J256" s="3">
        <f t="shared" si="57"/>
        <v>10</v>
      </c>
      <c r="K256" s="3" t="str">
        <f t="shared" si="58"/>
        <v>Installation Started</v>
      </c>
      <c r="L256" s="3" t="str">
        <f t="shared" si="59"/>
        <v>In Progress</v>
      </c>
      <c r="M256" s="3" t="str">
        <f t="shared" si="60"/>
        <v>Pending</v>
      </c>
      <c r="N256" s="3" t="str">
        <f t="shared" si="46"/>
        <v>Delayed</v>
      </c>
      <c r="P256" s="3">
        <f t="shared" si="47"/>
        <v>1</v>
      </c>
    </row>
    <row r="257" spans="1:16" x14ac:dyDescent="0.35">
      <c r="A257" s="3" t="str">
        <f t="shared" si="48"/>
        <v>PRJ256</v>
      </c>
      <c r="B257" s="8" t="str">
        <f t="shared" si="49"/>
        <v>Sunrise Apartments 256</v>
      </c>
      <c r="C257" s="3" t="str">
        <f t="shared" si="50"/>
        <v>North Kerala</v>
      </c>
      <c r="D257" s="3" t="str">
        <f t="shared" si="51"/>
        <v>Kasaragod</v>
      </c>
      <c r="E257" s="3" t="str">
        <f t="shared" si="52"/>
        <v>Office</v>
      </c>
      <c r="F257" s="4">
        <f t="shared" si="53"/>
        <v>55</v>
      </c>
      <c r="G257" s="6">
        <f t="shared" si="54"/>
        <v>46118</v>
      </c>
      <c r="H257" s="6">
        <f t="shared" si="55"/>
        <v>46208</v>
      </c>
      <c r="I257" s="6">
        <f t="shared" si="56"/>
        <v>46203</v>
      </c>
      <c r="J257" s="3">
        <f t="shared" si="57"/>
        <v>-5</v>
      </c>
      <c r="K257" s="3" t="str">
        <f t="shared" si="58"/>
        <v>Mechanical Completion</v>
      </c>
      <c r="L257" s="3" t="str">
        <f t="shared" si="59"/>
        <v>In Progress</v>
      </c>
      <c r="M257" s="3" t="str">
        <f t="shared" si="60"/>
        <v>Pending</v>
      </c>
      <c r="N257" s="3" t="str">
        <f t="shared" si="46"/>
        <v>Early</v>
      </c>
      <c r="P257" s="3">
        <f t="shared" si="47"/>
        <v>1</v>
      </c>
    </row>
    <row r="258" spans="1:16" x14ac:dyDescent="0.35">
      <c r="A258" s="3" t="str">
        <f t="shared" si="48"/>
        <v>PRJ257</v>
      </c>
      <c r="B258" s="8" t="str">
        <f t="shared" si="49"/>
        <v>Silver Oak Apartments 257</v>
      </c>
      <c r="C258" s="3" t="str">
        <f t="shared" si="50"/>
        <v>Central Kerala</v>
      </c>
      <c r="D258" s="3" t="str">
        <f t="shared" si="51"/>
        <v>Idukki</v>
      </c>
      <c r="E258" s="3" t="str">
        <f t="shared" si="52"/>
        <v>Hotel</v>
      </c>
      <c r="F258" s="4">
        <f t="shared" si="53"/>
        <v>27</v>
      </c>
      <c r="G258" s="6">
        <f t="shared" si="54"/>
        <v>46125</v>
      </c>
      <c r="H258" s="6">
        <f t="shared" si="55"/>
        <v>46245</v>
      </c>
      <c r="I258" s="6" t="str">
        <f t="shared" si="56"/>
        <v/>
      </c>
      <c r="J258" s="3" t="str">
        <f t="shared" si="57"/>
        <v/>
      </c>
      <c r="K258" s="3" t="str">
        <f t="shared" si="58"/>
        <v>Testing &amp; Commissioning</v>
      </c>
      <c r="L258" s="3" t="str">
        <f t="shared" si="59"/>
        <v>In Progress</v>
      </c>
      <c r="M258" s="3" t="str">
        <f t="shared" si="60"/>
        <v>Pending</v>
      </c>
      <c r="N258" s="3" t="str">
        <f t="shared" ref="N258:N301" si="61">IF(I258="","In Progress",IF(J258&gt;0,"Delayed",IF(J258=0,"On Time","Early")))</f>
        <v>In Progress</v>
      </c>
      <c r="P258" s="3">
        <f t="shared" si="47"/>
        <v>1</v>
      </c>
    </row>
    <row r="259" spans="1:16" x14ac:dyDescent="0.35">
      <c r="A259" s="3" t="str">
        <f t="shared" si="48"/>
        <v>PRJ258</v>
      </c>
      <c r="B259" s="8" t="str">
        <f t="shared" si="49"/>
        <v>River View Apartments 258</v>
      </c>
      <c r="C259" s="3" t="str">
        <f t="shared" si="50"/>
        <v>South Kerala</v>
      </c>
      <c r="D259" s="3" t="str">
        <f t="shared" si="51"/>
        <v>Kollam</v>
      </c>
      <c r="E259" s="3" t="str">
        <f t="shared" si="52"/>
        <v>Commercial</v>
      </c>
      <c r="F259" s="4">
        <f t="shared" si="53"/>
        <v>21</v>
      </c>
      <c r="G259" s="6">
        <f t="shared" si="54"/>
        <v>46132</v>
      </c>
      <c r="H259" s="6">
        <f t="shared" si="55"/>
        <v>46282</v>
      </c>
      <c r="I259" s="6">
        <f t="shared" si="56"/>
        <v>46289</v>
      </c>
      <c r="J259" s="3">
        <f t="shared" si="57"/>
        <v>7</v>
      </c>
      <c r="K259" s="3" t="str">
        <f t="shared" si="58"/>
        <v>Handover</v>
      </c>
      <c r="L259" s="3" t="str">
        <f t="shared" si="59"/>
        <v>Completed</v>
      </c>
      <c r="M259" s="3" t="str">
        <f t="shared" si="60"/>
        <v>Completed</v>
      </c>
      <c r="N259" s="3" t="str">
        <f t="shared" si="61"/>
        <v>Delayed</v>
      </c>
      <c r="P259" s="3">
        <f t="shared" ref="P259:P306" si="62">COUNTIF($A$2:$A$306,A259)</f>
        <v>1</v>
      </c>
    </row>
    <row r="260" spans="1:16" x14ac:dyDescent="0.35">
      <c r="A260" s="3" t="str">
        <f t="shared" si="48"/>
        <v>PRJ259</v>
      </c>
      <c r="B260" s="8" t="str">
        <f t="shared" si="49"/>
        <v>Golden Gate Apartments 259</v>
      </c>
      <c r="C260" s="3" t="str">
        <f t="shared" si="50"/>
        <v>North Kerala</v>
      </c>
      <c r="D260" s="3" t="str">
        <f t="shared" si="51"/>
        <v>Wayanad</v>
      </c>
      <c r="E260" s="3" t="str">
        <f t="shared" si="52"/>
        <v>Residential</v>
      </c>
      <c r="F260" s="4">
        <f t="shared" si="53"/>
        <v>48</v>
      </c>
      <c r="G260" s="6">
        <f t="shared" si="54"/>
        <v>46139</v>
      </c>
      <c r="H260" s="6">
        <f t="shared" si="55"/>
        <v>46319</v>
      </c>
      <c r="I260" s="6">
        <f t="shared" si="56"/>
        <v>46317</v>
      </c>
      <c r="J260" s="3">
        <f t="shared" si="57"/>
        <v>-2</v>
      </c>
      <c r="K260" s="3" t="str">
        <f t="shared" si="58"/>
        <v>Material Ordered</v>
      </c>
      <c r="L260" s="3" t="str">
        <f t="shared" si="59"/>
        <v>In Progress</v>
      </c>
      <c r="M260" s="3" t="str">
        <f t="shared" si="60"/>
        <v>Pending</v>
      </c>
      <c r="N260" s="3" t="str">
        <f t="shared" si="61"/>
        <v>Early</v>
      </c>
      <c r="P260" s="3">
        <f t="shared" si="62"/>
        <v>1</v>
      </c>
    </row>
    <row r="261" spans="1:16" x14ac:dyDescent="0.35">
      <c r="A261" s="3" t="str">
        <f t="shared" si="48"/>
        <v>PRJ260</v>
      </c>
      <c r="B261" s="8" t="str">
        <f t="shared" si="49"/>
        <v>Emerald Apartments 260</v>
      </c>
      <c r="C261" s="3" t="str">
        <f t="shared" si="50"/>
        <v>Central Kerala</v>
      </c>
      <c r="D261" s="3" t="str">
        <f t="shared" si="51"/>
        <v>Thrissur</v>
      </c>
      <c r="E261" s="3" t="str">
        <f t="shared" si="52"/>
        <v>Apartment</v>
      </c>
      <c r="F261" s="4">
        <f t="shared" si="53"/>
        <v>32</v>
      </c>
      <c r="G261" s="6">
        <f t="shared" si="54"/>
        <v>46146</v>
      </c>
      <c r="H261" s="6">
        <f t="shared" si="55"/>
        <v>46356</v>
      </c>
      <c r="I261" s="6">
        <f t="shared" si="56"/>
        <v>46366</v>
      </c>
      <c r="J261" s="3">
        <f t="shared" si="57"/>
        <v>10</v>
      </c>
      <c r="K261" s="3" t="str">
        <f t="shared" si="58"/>
        <v>Material Delivered</v>
      </c>
      <c r="L261" s="3" t="str">
        <f t="shared" si="59"/>
        <v>In Progress</v>
      </c>
      <c r="M261" s="3" t="str">
        <f t="shared" si="60"/>
        <v>Pending</v>
      </c>
      <c r="N261" s="3" t="str">
        <f t="shared" si="61"/>
        <v>Delayed</v>
      </c>
      <c r="P261" s="3">
        <f t="shared" si="62"/>
        <v>1</v>
      </c>
    </row>
    <row r="262" spans="1:16" x14ac:dyDescent="0.35">
      <c r="A262" s="3" t="str">
        <f t="shared" si="48"/>
        <v>PRJ261</v>
      </c>
      <c r="B262" s="8" t="str">
        <f t="shared" si="49"/>
        <v>Green Valley Heights 261</v>
      </c>
      <c r="C262" s="3" t="str">
        <f t="shared" si="50"/>
        <v>South Kerala</v>
      </c>
      <c r="D262" s="3" t="str">
        <f t="shared" si="51"/>
        <v>Trivandrum</v>
      </c>
      <c r="E262" s="3" t="str">
        <f t="shared" si="52"/>
        <v>Hospital</v>
      </c>
      <c r="F262" s="4">
        <f t="shared" si="53"/>
        <v>18</v>
      </c>
      <c r="G262" s="6">
        <f t="shared" si="54"/>
        <v>46153</v>
      </c>
      <c r="H262" s="6">
        <f t="shared" si="55"/>
        <v>46243</v>
      </c>
      <c r="I262" s="6" t="str">
        <f t="shared" si="56"/>
        <v/>
      </c>
      <c r="J262" s="3" t="str">
        <f t="shared" si="57"/>
        <v/>
      </c>
      <c r="K262" s="3" t="str">
        <f t="shared" si="58"/>
        <v>Installation Started</v>
      </c>
      <c r="L262" s="3" t="str">
        <f t="shared" si="59"/>
        <v>In Progress</v>
      </c>
      <c r="M262" s="3" t="str">
        <f t="shared" si="60"/>
        <v>Pending</v>
      </c>
      <c r="N262" s="3" t="str">
        <f t="shared" si="61"/>
        <v>In Progress</v>
      </c>
      <c r="P262" s="3">
        <f t="shared" si="62"/>
        <v>1</v>
      </c>
    </row>
    <row r="263" spans="1:16" x14ac:dyDescent="0.35">
      <c r="A263" s="3" t="str">
        <f t="shared" si="48"/>
        <v>PRJ262</v>
      </c>
      <c r="B263" s="8" t="str">
        <f t="shared" si="49"/>
        <v>Royal Palm Heights 262</v>
      </c>
      <c r="C263" s="3" t="str">
        <f t="shared" si="50"/>
        <v>North Kerala</v>
      </c>
      <c r="D263" s="3" t="str">
        <f t="shared" si="51"/>
        <v>Kozhikode</v>
      </c>
      <c r="E263" s="3" t="str">
        <f t="shared" si="52"/>
        <v>Office</v>
      </c>
      <c r="F263" s="4">
        <f t="shared" si="53"/>
        <v>24</v>
      </c>
      <c r="G263" s="6">
        <f t="shared" si="54"/>
        <v>46160</v>
      </c>
      <c r="H263" s="6">
        <f t="shared" si="55"/>
        <v>46280</v>
      </c>
      <c r="I263" s="6">
        <f t="shared" si="56"/>
        <v>46280</v>
      </c>
      <c r="J263" s="3">
        <f t="shared" si="57"/>
        <v>0</v>
      </c>
      <c r="K263" s="3" t="str">
        <f t="shared" si="58"/>
        <v>Mechanical Completion</v>
      </c>
      <c r="L263" s="3" t="str">
        <f t="shared" si="59"/>
        <v>In Progress</v>
      </c>
      <c r="M263" s="3" t="str">
        <f t="shared" si="60"/>
        <v>Pending</v>
      </c>
      <c r="N263" s="3" t="str">
        <f t="shared" si="61"/>
        <v>On Time</v>
      </c>
      <c r="P263" s="3">
        <f t="shared" si="62"/>
        <v>1</v>
      </c>
    </row>
    <row r="264" spans="1:16" x14ac:dyDescent="0.35">
      <c r="A264" s="3" t="str">
        <f t="shared" si="48"/>
        <v>PRJ263</v>
      </c>
      <c r="B264" s="8" t="str">
        <f t="shared" si="49"/>
        <v>Skyline Heights 263</v>
      </c>
      <c r="C264" s="3" t="str">
        <f t="shared" si="50"/>
        <v>Central Kerala</v>
      </c>
      <c r="D264" s="3" t="str">
        <f t="shared" si="51"/>
        <v>Idukki</v>
      </c>
      <c r="E264" s="3" t="str">
        <f t="shared" si="52"/>
        <v>Hotel</v>
      </c>
      <c r="F264" s="4">
        <f t="shared" si="53"/>
        <v>42</v>
      </c>
      <c r="G264" s="6">
        <f t="shared" si="54"/>
        <v>46167</v>
      </c>
      <c r="H264" s="6">
        <f t="shared" si="55"/>
        <v>46317</v>
      </c>
      <c r="I264" s="6">
        <f t="shared" si="56"/>
        <v>46324</v>
      </c>
      <c r="J264" s="3">
        <f t="shared" si="57"/>
        <v>7</v>
      </c>
      <c r="K264" s="3" t="str">
        <f t="shared" si="58"/>
        <v>Testing &amp; Commissioning</v>
      </c>
      <c r="L264" s="3" t="str">
        <f t="shared" si="59"/>
        <v>In Progress</v>
      </c>
      <c r="M264" s="3" t="str">
        <f t="shared" si="60"/>
        <v>Pending</v>
      </c>
      <c r="N264" s="3" t="str">
        <f t="shared" si="61"/>
        <v>Delayed</v>
      </c>
      <c r="P264" s="3">
        <f t="shared" si="62"/>
        <v>1</v>
      </c>
    </row>
    <row r="265" spans="1:16" x14ac:dyDescent="0.35">
      <c r="A265" s="3" t="str">
        <f t="shared" si="48"/>
        <v>PRJ264</v>
      </c>
      <c r="B265" s="8" t="str">
        <f t="shared" si="49"/>
        <v>Harmony Heights 264</v>
      </c>
      <c r="C265" s="3" t="str">
        <f t="shared" si="50"/>
        <v>South Kerala</v>
      </c>
      <c r="D265" s="3" t="str">
        <f t="shared" si="51"/>
        <v>Alappuzha</v>
      </c>
      <c r="E265" s="3" t="str">
        <f t="shared" si="52"/>
        <v>Commercial</v>
      </c>
      <c r="F265" s="4">
        <f t="shared" si="53"/>
        <v>65</v>
      </c>
      <c r="G265" s="6">
        <f t="shared" si="54"/>
        <v>46174</v>
      </c>
      <c r="H265" s="6">
        <f t="shared" si="55"/>
        <v>46354</v>
      </c>
      <c r="I265" s="6">
        <f t="shared" si="56"/>
        <v>46352</v>
      </c>
      <c r="J265" s="3">
        <f t="shared" si="57"/>
        <v>-2</v>
      </c>
      <c r="K265" s="3" t="str">
        <f t="shared" si="58"/>
        <v>Handover</v>
      </c>
      <c r="L265" s="3" t="str">
        <f t="shared" si="59"/>
        <v>Completed</v>
      </c>
      <c r="M265" s="3" t="str">
        <f t="shared" si="60"/>
        <v>Completed</v>
      </c>
      <c r="N265" s="3" t="str">
        <f t="shared" si="61"/>
        <v>Early</v>
      </c>
      <c r="P265" s="3">
        <f t="shared" si="62"/>
        <v>1</v>
      </c>
    </row>
    <row r="266" spans="1:16" x14ac:dyDescent="0.35">
      <c r="A266" s="3" t="str">
        <f t="shared" si="48"/>
        <v>PRJ265</v>
      </c>
      <c r="B266" s="8" t="str">
        <f t="shared" si="49"/>
        <v>Lakeside Heights 265</v>
      </c>
      <c r="C266" s="3" t="str">
        <f t="shared" si="50"/>
        <v>North Kerala</v>
      </c>
      <c r="D266" s="3" t="str">
        <f t="shared" si="51"/>
        <v>Kannur</v>
      </c>
      <c r="E266" s="3" t="str">
        <f t="shared" si="52"/>
        <v>Residential</v>
      </c>
      <c r="F266" s="4">
        <f t="shared" si="53"/>
        <v>38</v>
      </c>
      <c r="G266" s="6">
        <f t="shared" si="54"/>
        <v>46181</v>
      </c>
      <c r="H266" s="6">
        <f t="shared" si="55"/>
        <v>46391</v>
      </c>
      <c r="I266" s="6" t="str">
        <f t="shared" si="56"/>
        <v/>
      </c>
      <c r="J266" s="3" t="str">
        <f t="shared" si="57"/>
        <v/>
      </c>
      <c r="K266" s="3" t="str">
        <f t="shared" si="58"/>
        <v>Material Ordered</v>
      </c>
      <c r="L266" s="3" t="str">
        <f t="shared" si="59"/>
        <v>In Progress</v>
      </c>
      <c r="M266" s="3" t="str">
        <f t="shared" si="60"/>
        <v>Pending</v>
      </c>
      <c r="N266" s="3" t="str">
        <f t="shared" si="61"/>
        <v>In Progress</v>
      </c>
      <c r="P266" s="3">
        <f t="shared" si="62"/>
        <v>1</v>
      </c>
    </row>
    <row r="267" spans="1:16" x14ac:dyDescent="0.35">
      <c r="A267" s="3" t="str">
        <f t="shared" si="48"/>
        <v>PRJ266</v>
      </c>
      <c r="B267" s="8" t="str">
        <f t="shared" si="49"/>
        <v>Sunrise Heights 266</v>
      </c>
      <c r="C267" s="3" t="str">
        <f t="shared" si="50"/>
        <v>Central Kerala</v>
      </c>
      <c r="D267" s="3" t="str">
        <f t="shared" si="51"/>
        <v>Thrissur</v>
      </c>
      <c r="E267" s="3" t="str">
        <f t="shared" si="52"/>
        <v>Apartment</v>
      </c>
      <c r="F267" s="4">
        <f t="shared" si="53"/>
        <v>55</v>
      </c>
      <c r="G267" s="6">
        <f t="shared" si="54"/>
        <v>46188</v>
      </c>
      <c r="H267" s="6">
        <f t="shared" si="55"/>
        <v>46278</v>
      </c>
      <c r="I267" s="6">
        <f t="shared" si="56"/>
        <v>46273</v>
      </c>
      <c r="J267" s="3">
        <f t="shared" si="57"/>
        <v>-5</v>
      </c>
      <c r="K267" s="3" t="str">
        <f t="shared" si="58"/>
        <v>Material Delivered</v>
      </c>
      <c r="L267" s="3" t="str">
        <f t="shared" si="59"/>
        <v>In Progress</v>
      </c>
      <c r="M267" s="3" t="str">
        <f t="shared" si="60"/>
        <v>Pending</v>
      </c>
      <c r="N267" s="3" t="str">
        <f t="shared" si="61"/>
        <v>Early</v>
      </c>
      <c r="P267" s="3">
        <f t="shared" si="62"/>
        <v>1</v>
      </c>
    </row>
    <row r="268" spans="1:16" x14ac:dyDescent="0.35">
      <c r="A268" s="3" t="str">
        <f t="shared" si="48"/>
        <v>PRJ267</v>
      </c>
      <c r="B268" s="8" t="str">
        <f t="shared" si="49"/>
        <v>Silver Oak Heights 267</v>
      </c>
      <c r="C268" s="3" t="str">
        <f t="shared" si="50"/>
        <v>South Kerala</v>
      </c>
      <c r="D268" s="3" t="str">
        <f t="shared" si="51"/>
        <v>Pathanamthitta</v>
      </c>
      <c r="E268" s="3" t="str">
        <f t="shared" si="52"/>
        <v>Hospital</v>
      </c>
      <c r="F268" s="4">
        <f t="shared" si="53"/>
        <v>27</v>
      </c>
      <c r="G268" s="6">
        <f t="shared" si="54"/>
        <v>46195</v>
      </c>
      <c r="H268" s="6">
        <f t="shared" si="55"/>
        <v>46315</v>
      </c>
      <c r="I268" s="6">
        <f t="shared" si="56"/>
        <v>46315</v>
      </c>
      <c r="J268" s="3">
        <f t="shared" si="57"/>
        <v>0</v>
      </c>
      <c r="K268" s="3" t="str">
        <f t="shared" si="58"/>
        <v>Installation Started</v>
      </c>
      <c r="L268" s="3" t="str">
        <f t="shared" si="59"/>
        <v>In Progress</v>
      </c>
      <c r="M268" s="3" t="str">
        <f t="shared" si="60"/>
        <v>Pending</v>
      </c>
      <c r="N268" s="3" t="str">
        <f t="shared" si="61"/>
        <v>On Time</v>
      </c>
      <c r="P268" s="3">
        <f t="shared" si="62"/>
        <v>1</v>
      </c>
    </row>
    <row r="269" spans="1:16" x14ac:dyDescent="0.35">
      <c r="A269" s="3" t="str">
        <f t="shared" ref="A269:A301" si="63">"PRJ"&amp;TEXT(ROW()-1,"000")</f>
        <v>PRJ268</v>
      </c>
      <c r="B269" s="8" t="str">
        <f t="shared" ref="B269:B301" si="64">CHOOSE(MOD(ROW()-2,10)+1,"Green Valley","Royal Palm","Skyline","Harmony","Lakeside","Sunrise","Silver Oak","River View","Golden Gate","Emerald")&amp;" "&amp;CHOOSE(MOD(INT((ROW()-2)/10),8)+1,"Residency","Apartments","Heights","Towers","Enclave","Business Centre","Grand Hotel","Care Hospital")&amp;" "&amp;TEXT(ROW()-1,"000")</f>
        <v>River View Heights 268</v>
      </c>
      <c r="C269" s="3" t="str">
        <f t="shared" ref="C269:C301" si="65">CHOOSE(MOD(ROW()-2,3)+1,"North Kerala","Central Kerala","South Kerala")</f>
        <v>North Kerala</v>
      </c>
      <c r="D269" s="3" t="str">
        <f t="shared" ref="D269:D301" si="66">IF(C269="North Kerala",CHOOSE(MOD(ROW()-2,4)+1,"Kannur","Kozhikode","Wayanad","Kasaragod"),IF(C269="Central Kerala",CHOOSE(MOD(ROW()-2,6)+1,"Kochi","Thrissur","Kottayam","Palakkad","Idukki","Alappuzha"),CHOOSE(MOD(ROW()-2,4)+1,"Trivandrum","Kollam","Pathanamthitta","Alappuzha")))</f>
        <v>Kasaragod</v>
      </c>
      <c r="E269" s="3" t="str">
        <f t="shared" ref="E269:E301" si="67">CHOOSE(MOD(ROW()-2,6)+1,"Residential","Apartment","Hospital","Office","Hotel","Commercial")</f>
        <v>Office</v>
      </c>
      <c r="F269" s="4">
        <f t="shared" ref="F269:F301" si="68">CHOOSE(MOD(ROW()-2,10)+1,18,24,42,65,38,55,27,21,48,32)</f>
        <v>21</v>
      </c>
      <c r="G269" s="6">
        <f t="shared" ref="G269:G301" si="69">DATE(2026,1,1)+MOD((ROW()-12)*7,180)</f>
        <v>46202</v>
      </c>
      <c r="H269" s="6">
        <f t="shared" ref="H269:H301" si="70">G269+CHOOSE(MOD(ROW()-2,5)+1,90,120,150,180,210)</f>
        <v>46352</v>
      </c>
      <c r="I269" s="6">
        <f t="shared" ref="I269:I301" si="71">IF(MOD(ROW()-2,4)=0,"",H269+CHOOSE(MOD(ROW()-2,5)+1,-5,0,7,-2,10))</f>
        <v>46359</v>
      </c>
      <c r="J269" s="3">
        <f t="shared" ref="J269:J301" si="72">IF(I269="","",I269-H269)</f>
        <v>7</v>
      </c>
      <c r="K269" s="3" t="str">
        <f t="shared" ref="K269:K301" si="73">CHOOSE(MOD(ROW()-2,6)+1,"Material Ordered","Material Delivered","Installation Started","Mechanical Completion","Testing &amp; Commissioning","Handover")</f>
        <v>Mechanical Completion</v>
      </c>
      <c r="L269" s="3" t="str">
        <f t="shared" ref="L269:L301" si="74">IF(K269="Handover","Completed","In Progress")</f>
        <v>In Progress</v>
      </c>
      <c r="M269" s="3" t="str">
        <f t="shared" ref="M269:M301" si="75">IF(K269="Handover","Completed","Pending")</f>
        <v>Pending</v>
      </c>
      <c r="N269" s="3" t="str">
        <f t="shared" si="61"/>
        <v>Delayed</v>
      </c>
      <c r="P269" s="3">
        <f t="shared" si="62"/>
        <v>1</v>
      </c>
    </row>
    <row r="270" spans="1:16" x14ac:dyDescent="0.35">
      <c r="A270" s="3" t="str">
        <f t="shared" si="63"/>
        <v>PRJ269</v>
      </c>
      <c r="B270" s="8" t="str">
        <f t="shared" si="64"/>
        <v>Golden Gate Heights 269</v>
      </c>
      <c r="C270" s="3" t="str">
        <f t="shared" si="65"/>
        <v>Central Kerala</v>
      </c>
      <c r="D270" s="3" t="str">
        <f t="shared" si="66"/>
        <v>Idukki</v>
      </c>
      <c r="E270" s="3" t="str">
        <f t="shared" si="67"/>
        <v>Hotel</v>
      </c>
      <c r="F270" s="4">
        <f t="shared" si="68"/>
        <v>48</v>
      </c>
      <c r="G270" s="6">
        <f t="shared" si="69"/>
        <v>46029</v>
      </c>
      <c r="H270" s="6">
        <f t="shared" si="70"/>
        <v>46209</v>
      </c>
      <c r="I270" s="6" t="str">
        <f t="shared" si="71"/>
        <v/>
      </c>
      <c r="J270" s="3" t="str">
        <f t="shared" si="72"/>
        <v/>
      </c>
      <c r="K270" s="3" t="str">
        <f t="shared" si="73"/>
        <v>Testing &amp; Commissioning</v>
      </c>
      <c r="L270" s="3" t="str">
        <f t="shared" si="74"/>
        <v>In Progress</v>
      </c>
      <c r="M270" s="3" t="str">
        <f t="shared" si="75"/>
        <v>Pending</v>
      </c>
      <c r="N270" s="3" t="str">
        <f t="shared" si="61"/>
        <v>In Progress</v>
      </c>
      <c r="P270" s="3">
        <f t="shared" si="62"/>
        <v>1</v>
      </c>
    </row>
    <row r="271" spans="1:16" x14ac:dyDescent="0.35">
      <c r="A271" s="3" t="str">
        <f t="shared" si="63"/>
        <v>PRJ270</v>
      </c>
      <c r="B271" s="8" t="str">
        <f t="shared" si="64"/>
        <v>Emerald Heights 270</v>
      </c>
      <c r="C271" s="3" t="str">
        <f t="shared" si="65"/>
        <v>South Kerala</v>
      </c>
      <c r="D271" s="3" t="str">
        <f t="shared" si="66"/>
        <v>Kollam</v>
      </c>
      <c r="E271" s="3" t="str">
        <f t="shared" si="67"/>
        <v>Commercial</v>
      </c>
      <c r="F271" s="4">
        <f t="shared" si="68"/>
        <v>32</v>
      </c>
      <c r="G271" s="6">
        <f t="shared" si="69"/>
        <v>46036</v>
      </c>
      <c r="H271" s="6">
        <f t="shared" si="70"/>
        <v>46246</v>
      </c>
      <c r="I271" s="6">
        <f t="shared" si="71"/>
        <v>46256</v>
      </c>
      <c r="J271" s="3">
        <f t="shared" si="72"/>
        <v>10</v>
      </c>
      <c r="K271" s="3" t="str">
        <f t="shared" si="73"/>
        <v>Handover</v>
      </c>
      <c r="L271" s="3" t="str">
        <f t="shared" si="74"/>
        <v>Completed</v>
      </c>
      <c r="M271" s="3" t="str">
        <f t="shared" si="75"/>
        <v>Completed</v>
      </c>
      <c r="N271" s="3" t="str">
        <f t="shared" si="61"/>
        <v>Delayed</v>
      </c>
      <c r="P271" s="3">
        <f t="shared" si="62"/>
        <v>1</v>
      </c>
    </row>
    <row r="272" spans="1:16" x14ac:dyDescent="0.35">
      <c r="A272" s="3" t="str">
        <f t="shared" si="63"/>
        <v>PRJ271</v>
      </c>
      <c r="B272" s="8" t="str">
        <f t="shared" si="64"/>
        <v>Green Valley Towers 271</v>
      </c>
      <c r="C272" s="3" t="str">
        <f t="shared" si="65"/>
        <v>North Kerala</v>
      </c>
      <c r="D272" s="3" t="str">
        <f t="shared" si="66"/>
        <v>Wayanad</v>
      </c>
      <c r="E272" s="3" t="str">
        <f t="shared" si="67"/>
        <v>Residential</v>
      </c>
      <c r="F272" s="4">
        <f t="shared" si="68"/>
        <v>18</v>
      </c>
      <c r="G272" s="6">
        <f t="shared" si="69"/>
        <v>46043</v>
      </c>
      <c r="H272" s="6">
        <f t="shared" si="70"/>
        <v>46133</v>
      </c>
      <c r="I272" s="6">
        <f t="shared" si="71"/>
        <v>46128</v>
      </c>
      <c r="J272" s="3">
        <f t="shared" si="72"/>
        <v>-5</v>
      </c>
      <c r="K272" s="3" t="str">
        <f t="shared" si="73"/>
        <v>Material Ordered</v>
      </c>
      <c r="L272" s="3" t="str">
        <f t="shared" si="74"/>
        <v>In Progress</v>
      </c>
      <c r="M272" s="3" t="str">
        <f t="shared" si="75"/>
        <v>Pending</v>
      </c>
      <c r="N272" s="3" t="str">
        <f t="shared" si="61"/>
        <v>Early</v>
      </c>
      <c r="P272" s="3">
        <f t="shared" si="62"/>
        <v>1</v>
      </c>
    </row>
    <row r="273" spans="1:16" x14ac:dyDescent="0.35">
      <c r="A273" s="3" t="str">
        <f t="shared" si="63"/>
        <v>PRJ272</v>
      </c>
      <c r="B273" s="8" t="str">
        <f t="shared" si="64"/>
        <v>Royal Palm Towers 272</v>
      </c>
      <c r="C273" s="3" t="str">
        <f t="shared" si="65"/>
        <v>Central Kerala</v>
      </c>
      <c r="D273" s="3" t="str">
        <f t="shared" si="66"/>
        <v>Thrissur</v>
      </c>
      <c r="E273" s="3" t="str">
        <f t="shared" si="67"/>
        <v>Apartment</v>
      </c>
      <c r="F273" s="4">
        <f t="shared" si="68"/>
        <v>24</v>
      </c>
      <c r="G273" s="6">
        <f t="shared" si="69"/>
        <v>46050</v>
      </c>
      <c r="H273" s="6">
        <f t="shared" si="70"/>
        <v>46170</v>
      </c>
      <c r="I273" s="6">
        <f t="shared" si="71"/>
        <v>46170</v>
      </c>
      <c r="J273" s="3">
        <f t="shared" si="72"/>
        <v>0</v>
      </c>
      <c r="K273" s="3" t="str">
        <f t="shared" si="73"/>
        <v>Material Delivered</v>
      </c>
      <c r="L273" s="3" t="str">
        <f t="shared" si="74"/>
        <v>In Progress</v>
      </c>
      <c r="M273" s="3" t="str">
        <f t="shared" si="75"/>
        <v>Pending</v>
      </c>
      <c r="N273" s="3" t="str">
        <f t="shared" si="61"/>
        <v>On Time</v>
      </c>
      <c r="P273" s="3">
        <f t="shared" si="62"/>
        <v>1</v>
      </c>
    </row>
    <row r="274" spans="1:16" x14ac:dyDescent="0.35">
      <c r="A274" s="3" t="str">
        <f t="shared" si="63"/>
        <v>PRJ273</v>
      </c>
      <c r="B274" s="8" t="str">
        <f t="shared" si="64"/>
        <v>Skyline Towers 273</v>
      </c>
      <c r="C274" s="3" t="str">
        <f t="shared" si="65"/>
        <v>South Kerala</v>
      </c>
      <c r="D274" s="3" t="str">
        <f t="shared" si="66"/>
        <v>Trivandrum</v>
      </c>
      <c r="E274" s="3" t="str">
        <f t="shared" si="67"/>
        <v>Hospital</v>
      </c>
      <c r="F274" s="4">
        <f t="shared" si="68"/>
        <v>42</v>
      </c>
      <c r="G274" s="6">
        <f t="shared" si="69"/>
        <v>46057</v>
      </c>
      <c r="H274" s="6">
        <f t="shared" si="70"/>
        <v>46207</v>
      </c>
      <c r="I274" s="6" t="str">
        <f t="shared" si="71"/>
        <v/>
      </c>
      <c r="J274" s="3" t="str">
        <f t="shared" si="72"/>
        <v/>
      </c>
      <c r="K274" s="3" t="str">
        <f t="shared" si="73"/>
        <v>Installation Started</v>
      </c>
      <c r="L274" s="3" t="str">
        <f t="shared" si="74"/>
        <v>In Progress</v>
      </c>
      <c r="M274" s="3" t="str">
        <f t="shared" si="75"/>
        <v>Pending</v>
      </c>
      <c r="N274" s="3" t="str">
        <f t="shared" si="61"/>
        <v>In Progress</v>
      </c>
      <c r="P274" s="3">
        <f t="shared" si="62"/>
        <v>1</v>
      </c>
    </row>
    <row r="275" spans="1:16" x14ac:dyDescent="0.35">
      <c r="A275" s="3" t="str">
        <f t="shared" si="63"/>
        <v>PRJ274</v>
      </c>
      <c r="B275" s="8" t="str">
        <f t="shared" si="64"/>
        <v>Harmony Towers 274</v>
      </c>
      <c r="C275" s="3" t="str">
        <f t="shared" si="65"/>
        <v>North Kerala</v>
      </c>
      <c r="D275" s="3" t="str">
        <f t="shared" si="66"/>
        <v>Kozhikode</v>
      </c>
      <c r="E275" s="3" t="str">
        <f t="shared" si="67"/>
        <v>Office</v>
      </c>
      <c r="F275" s="4">
        <f t="shared" si="68"/>
        <v>65</v>
      </c>
      <c r="G275" s="6">
        <f t="shared" si="69"/>
        <v>46064</v>
      </c>
      <c r="H275" s="6">
        <f t="shared" si="70"/>
        <v>46244</v>
      </c>
      <c r="I275" s="6">
        <f t="shared" si="71"/>
        <v>46242</v>
      </c>
      <c r="J275" s="3">
        <f t="shared" si="72"/>
        <v>-2</v>
      </c>
      <c r="K275" s="3" t="str">
        <f t="shared" si="73"/>
        <v>Mechanical Completion</v>
      </c>
      <c r="L275" s="3" t="str">
        <f t="shared" si="74"/>
        <v>In Progress</v>
      </c>
      <c r="M275" s="3" t="str">
        <f t="shared" si="75"/>
        <v>Pending</v>
      </c>
      <c r="N275" s="3" t="str">
        <f t="shared" si="61"/>
        <v>Early</v>
      </c>
      <c r="P275" s="3">
        <f t="shared" si="62"/>
        <v>1</v>
      </c>
    </row>
    <row r="276" spans="1:16" x14ac:dyDescent="0.35">
      <c r="A276" s="3" t="str">
        <f t="shared" si="63"/>
        <v>PRJ275</v>
      </c>
      <c r="B276" s="8" t="str">
        <f t="shared" si="64"/>
        <v>Lakeside Towers 275</v>
      </c>
      <c r="C276" s="3" t="str">
        <f t="shared" si="65"/>
        <v>Central Kerala</v>
      </c>
      <c r="D276" s="3" t="str">
        <f t="shared" si="66"/>
        <v>Idukki</v>
      </c>
      <c r="E276" s="3" t="str">
        <f t="shared" si="67"/>
        <v>Hotel</v>
      </c>
      <c r="F276" s="4">
        <f t="shared" si="68"/>
        <v>38</v>
      </c>
      <c r="G276" s="6">
        <f t="shared" si="69"/>
        <v>46071</v>
      </c>
      <c r="H276" s="6">
        <f t="shared" si="70"/>
        <v>46281</v>
      </c>
      <c r="I276" s="6">
        <f t="shared" si="71"/>
        <v>46291</v>
      </c>
      <c r="J276" s="3">
        <f t="shared" si="72"/>
        <v>10</v>
      </c>
      <c r="K276" s="3" t="str">
        <f t="shared" si="73"/>
        <v>Testing &amp; Commissioning</v>
      </c>
      <c r="L276" s="3" t="str">
        <f t="shared" si="74"/>
        <v>In Progress</v>
      </c>
      <c r="M276" s="3" t="str">
        <f t="shared" si="75"/>
        <v>Pending</v>
      </c>
      <c r="N276" s="3" t="str">
        <f t="shared" si="61"/>
        <v>Delayed</v>
      </c>
      <c r="P276" s="3">
        <f t="shared" si="62"/>
        <v>1</v>
      </c>
    </row>
    <row r="277" spans="1:16" x14ac:dyDescent="0.35">
      <c r="A277" s="3" t="str">
        <f t="shared" si="63"/>
        <v>PRJ276</v>
      </c>
      <c r="B277" s="8" t="str">
        <f t="shared" si="64"/>
        <v>Sunrise Towers 276</v>
      </c>
      <c r="C277" s="3" t="str">
        <f t="shared" si="65"/>
        <v>South Kerala</v>
      </c>
      <c r="D277" s="3" t="str">
        <f t="shared" si="66"/>
        <v>Alappuzha</v>
      </c>
      <c r="E277" s="3" t="str">
        <f t="shared" si="67"/>
        <v>Commercial</v>
      </c>
      <c r="F277" s="4">
        <f t="shared" si="68"/>
        <v>55</v>
      </c>
      <c r="G277" s="6">
        <f t="shared" si="69"/>
        <v>46078</v>
      </c>
      <c r="H277" s="6">
        <f t="shared" si="70"/>
        <v>46168</v>
      </c>
      <c r="I277" s="6">
        <f t="shared" si="71"/>
        <v>46163</v>
      </c>
      <c r="J277" s="3">
        <f t="shared" si="72"/>
        <v>-5</v>
      </c>
      <c r="K277" s="3" t="str">
        <f t="shared" si="73"/>
        <v>Handover</v>
      </c>
      <c r="L277" s="3" t="str">
        <f t="shared" si="74"/>
        <v>Completed</v>
      </c>
      <c r="M277" s="3" t="str">
        <f t="shared" si="75"/>
        <v>Completed</v>
      </c>
      <c r="N277" s="3" t="str">
        <f t="shared" si="61"/>
        <v>Early</v>
      </c>
      <c r="P277" s="3">
        <f t="shared" si="62"/>
        <v>1</v>
      </c>
    </row>
    <row r="278" spans="1:16" x14ac:dyDescent="0.35">
      <c r="A278" s="3" t="str">
        <f t="shared" si="63"/>
        <v>PRJ277</v>
      </c>
      <c r="B278" s="8" t="str">
        <f t="shared" si="64"/>
        <v>Silver Oak Towers 277</v>
      </c>
      <c r="C278" s="3" t="str">
        <f t="shared" si="65"/>
        <v>North Kerala</v>
      </c>
      <c r="D278" s="3" t="str">
        <f t="shared" si="66"/>
        <v>Kannur</v>
      </c>
      <c r="E278" s="3" t="str">
        <f t="shared" si="67"/>
        <v>Residential</v>
      </c>
      <c r="F278" s="4">
        <f t="shared" si="68"/>
        <v>27</v>
      </c>
      <c r="G278" s="6">
        <f t="shared" si="69"/>
        <v>46085</v>
      </c>
      <c r="H278" s="6">
        <f t="shared" si="70"/>
        <v>46205</v>
      </c>
      <c r="I278" s="6" t="str">
        <f t="shared" si="71"/>
        <v/>
      </c>
      <c r="J278" s="3" t="str">
        <f t="shared" si="72"/>
        <v/>
      </c>
      <c r="K278" s="3" t="str">
        <f t="shared" si="73"/>
        <v>Material Ordered</v>
      </c>
      <c r="L278" s="3" t="str">
        <f t="shared" si="74"/>
        <v>In Progress</v>
      </c>
      <c r="M278" s="3" t="str">
        <f t="shared" si="75"/>
        <v>Pending</v>
      </c>
      <c r="N278" s="3" t="str">
        <f t="shared" si="61"/>
        <v>In Progress</v>
      </c>
      <c r="P278" s="3">
        <f t="shared" si="62"/>
        <v>1</v>
      </c>
    </row>
    <row r="279" spans="1:16" x14ac:dyDescent="0.35">
      <c r="A279" s="3" t="str">
        <f t="shared" si="63"/>
        <v>PRJ278</v>
      </c>
      <c r="B279" s="8" t="str">
        <f t="shared" si="64"/>
        <v>River View Towers 278</v>
      </c>
      <c r="C279" s="3" t="str">
        <f t="shared" si="65"/>
        <v>Central Kerala</v>
      </c>
      <c r="D279" s="3" t="str">
        <f t="shared" si="66"/>
        <v>Thrissur</v>
      </c>
      <c r="E279" s="3" t="str">
        <f t="shared" si="67"/>
        <v>Apartment</v>
      </c>
      <c r="F279" s="4">
        <f t="shared" si="68"/>
        <v>21</v>
      </c>
      <c r="G279" s="6">
        <f t="shared" si="69"/>
        <v>46092</v>
      </c>
      <c r="H279" s="6">
        <f t="shared" si="70"/>
        <v>46242</v>
      </c>
      <c r="I279" s="6">
        <f t="shared" si="71"/>
        <v>46249</v>
      </c>
      <c r="J279" s="3">
        <f t="shared" si="72"/>
        <v>7</v>
      </c>
      <c r="K279" s="3" t="str">
        <f t="shared" si="73"/>
        <v>Material Delivered</v>
      </c>
      <c r="L279" s="3" t="str">
        <f t="shared" si="74"/>
        <v>In Progress</v>
      </c>
      <c r="M279" s="3" t="str">
        <f t="shared" si="75"/>
        <v>Pending</v>
      </c>
      <c r="N279" s="3" t="str">
        <f t="shared" si="61"/>
        <v>Delayed</v>
      </c>
      <c r="P279" s="3">
        <f t="shared" si="62"/>
        <v>1</v>
      </c>
    </row>
    <row r="280" spans="1:16" x14ac:dyDescent="0.35">
      <c r="A280" s="3" t="str">
        <f t="shared" si="63"/>
        <v>PRJ279</v>
      </c>
      <c r="B280" s="8" t="str">
        <f t="shared" si="64"/>
        <v>Golden Gate Towers 279</v>
      </c>
      <c r="C280" s="3" t="str">
        <f t="shared" si="65"/>
        <v>South Kerala</v>
      </c>
      <c r="D280" s="3" t="str">
        <f t="shared" si="66"/>
        <v>Pathanamthitta</v>
      </c>
      <c r="E280" s="3" t="str">
        <f t="shared" si="67"/>
        <v>Hospital</v>
      </c>
      <c r="F280" s="4">
        <f t="shared" si="68"/>
        <v>48</v>
      </c>
      <c r="G280" s="6">
        <f t="shared" si="69"/>
        <v>46099</v>
      </c>
      <c r="H280" s="6">
        <f t="shared" si="70"/>
        <v>46279</v>
      </c>
      <c r="I280" s="6">
        <f t="shared" si="71"/>
        <v>46277</v>
      </c>
      <c r="J280" s="3">
        <f t="shared" si="72"/>
        <v>-2</v>
      </c>
      <c r="K280" s="3" t="str">
        <f t="shared" si="73"/>
        <v>Installation Started</v>
      </c>
      <c r="L280" s="3" t="str">
        <f t="shared" si="74"/>
        <v>In Progress</v>
      </c>
      <c r="M280" s="3" t="str">
        <f t="shared" si="75"/>
        <v>Pending</v>
      </c>
      <c r="N280" s="3" t="str">
        <f t="shared" si="61"/>
        <v>Early</v>
      </c>
      <c r="P280" s="3">
        <f t="shared" si="62"/>
        <v>1</v>
      </c>
    </row>
    <row r="281" spans="1:16" x14ac:dyDescent="0.35">
      <c r="A281" s="3" t="str">
        <f t="shared" si="63"/>
        <v>PRJ280</v>
      </c>
      <c r="B281" s="8" t="str">
        <f t="shared" si="64"/>
        <v>Emerald Towers 280</v>
      </c>
      <c r="C281" s="3" t="str">
        <f t="shared" si="65"/>
        <v>North Kerala</v>
      </c>
      <c r="D281" s="3" t="str">
        <f t="shared" si="66"/>
        <v>Kasaragod</v>
      </c>
      <c r="E281" s="3" t="str">
        <f t="shared" si="67"/>
        <v>Office</v>
      </c>
      <c r="F281" s="4">
        <f t="shared" si="68"/>
        <v>32</v>
      </c>
      <c r="G281" s="6">
        <f t="shared" si="69"/>
        <v>46106</v>
      </c>
      <c r="H281" s="6">
        <f t="shared" si="70"/>
        <v>46316</v>
      </c>
      <c r="I281" s="6">
        <f t="shared" si="71"/>
        <v>46326</v>
      </c>
      <c r="J281" s="3">
        <f t="shared" si="72"/>
        <v>10</v>
      </c>
      <c r="K281" s="3" t="str">
        <f t="shared" si="73"/>
        <v>Mechanical Completion</v>
      </c>
      <c r="L281" s="3" t="str">
        <f t="shared" si="74"/>
        <v>In Progress</v>
      </c>
      <c r="M281" s="3" t="str">
        <f t="shared" si="75"/>
        <v>Pending</v>
      </c>
      <c r="N281" s="3" t="str">
        <f t="shared" si="61"/>
        <v>Delayed</v>
      </c>
      <c r="P281" s="3">
        <f t="shared" si="62"/>
        <v>1</v>
      </c>
    </row>
    <row r="282" spans="1:16" x14ac:dyDescent="0.35">
      <c r="A282" s="3" t="str">
        <f t="shared" si="63"/>
        <v>PRJ281</v>
      </c>
      <c r="B282" s="8" t="str">
        <f t="shared" si="64"/>
        <v>Green Valley Enclave 281</v>
      </c>
      <c r="C282" s="3" t="str">
        <f t="shared" si="65"/>
        <v>Central Kerala</v>
      </c>
      <c r="D282" s="3" t="str">
        <f t="shared" si="66"/>
        <v>Idukki</v>
      </c>
      <c r="E282" s="3" t="str">
        <f t="shared" si="67"/>
        <v>Hotel</v>
      </c>
      <c r="F282" s="4">
        <f t="shared" si="68"/>
        <v>18</v>
      </c>
      <c r="G282" s="6">
        <f t="shared" si="69"/>
        <v>46113</v>
      </c>
      <c r="H282" s="6">
        <f t="shared" si="70"/>
        <v>46203</v>
      </c>
      <c r="I282" s="6" t="str">
        <f t="shared" si="71"/>
        <v/>
      </c>
      <c r="J282" s="3" t="str">
        <f t="shared" si="72"/>
        <v/>
      </c>
      <c r="K282" s="3" t="str">
        <f t="shared" si="73"/>
        <v>Testing &amp; Commissioning</v>
      </c>
      <c r="L282" s="3" t="str">
        <f t="shared" si="74"/>
        <v>In Progress</v>
      </c>
      <c r="M282" s="3" t="str">
        <f t="shared" si="75"/>
        <v>Pending</v>
      </c>
      <c r="N282" s="3" t="str">
        <f t="shared" si="61"/>
        <v>In Progress</v>
      </c>
      <c r="P282" s="3">
        <f t="shared" si="62"/>
        <v>1</v>
      </c>
    </row>
    <row r="283" spans="1:16" x14ac:dyDescent="0.35">
      <c r="A283" s="3" t="str">
        <f t="shared" si="63"/>
        <v>PRJ282</v>
      </c>
      <c r="B283" s="8" t="str">
        <f t="shared" si="64"/>
        <v>Royal Palm Enclave 282</v>
      </c>
      <c r="C283" s="3" t="str">
        <f t="shared" si="65"/>
        <v>South Kerala</v>
      </c>
      <c r="D283" s="3" t="str">
        <f t="shared" si="66"/>
        <v>Kollam</v>
      </c>
      <c r="E283" s="3" t="str">
        <f t="shared" si="67"/>
        <v>Commercial</v>
      </c>
      <c r="F283" s="4">
        <f t="shared" si="68"/>
        <v>24</v>
      </c>
      <c r="G283" s="6">
        <f t="shared" si="69"/>
        <v>46120</v>
      </c>
      <c r="H283" s="6">
        <f t="shared" si="70"/>
        <v>46240</v>
      </c>
      <c r="I283" s="6">
        <f t="shared" si="71"/>
        <v>46240</v>
      </c>
      <c r="J283" s="3">
        <f t="shared" si="72"/>
        <v>0</v>
      </c>
      <c r="K283" s="3" t="str">
        <f t="shared" si="73"/>
        <v>Handover</v>
      </c>
      <c r="L283" s="3" t="str">
        <f t="shared" si="74"/>
        <v>Completed</v>
      </c>
      <c r="M283" s="3" t="str">
        <f t="shared" si="75"/>
        <v>Completed</v>
      </c>
      <c r="N283" s="3" t="str">
        <f t="shared" si="61"/>
        <v>On Time</v>
      </c>
      <c r="P283" s="3">
        <f t="shared" si="62"/>
        <v>1</v>
      </c>
    </row>
    <row r="284" spans="1:16" x14ac:dyDescent="0.35">
      <c r="A284" s="3" t="str">
        <f t="shared" si="63"/>
        <v>PRJ283</v>
      </c>
      <c r="B284" s="8" t="str">
        <f t="shared" si="64"/>
        <v>Skyline Enclave 283</v>
      </c>
      <c r="C284" s="3" t="str">
        <f t="shared" si="65"/>
        <v>North Kerala</v>
      </c>
      <c r="D284" s="3" t="str">
        <f t="shared" si="66"/>
        <v>Wayanad</v>
      </c>
      <c r="E284" s="3" t="str">
        <f t="shared" si="67"/>
        <v>Residential</v>
      </c>
      <c r="F284" s="4">
        <f t="shared" si="68"/>
        <v>42</v>
      </c>
      <c r="G284" s="6">
        <f t="shared" si="69"/>
        <v>46127</v>
      </c>
      <c r="H284" s="6">
        <f t="shared" si="70"/>
        <v>46277</v>
      </c>
      <c r="I284" s="6">
        <f t="shared" si="71"/>
        <v>46284</v>
      </c>
      <c r="J284" s="3">
        <f t="shared" si="72"/>
        <v>7</v>
      </c>
      <c r="K284" s="3" t="str">
        <f t="shared" si="73"/>
        <v>Material Ordered</v>
      </c>
      <c r="L284" s="3" t="str">
        <f t="shared" si="74"/>
        <v>In Progress</v>
      </c>
      <c r="M284" s="3" t="str">
        <f t="shared" si="75"/>
        <v>Pending</v>
      </c>
      <c r="N284" s="3" t="str">
        <f t="shared" si="61"/>
        <v>Delayed</v>
      </c>
      <c r="P284" s="3">
        <f t="shared" si="62"/>
        <v>1</v>
      </c>
    </row>
    <row r="285" spans="1:16" x14ac:dyDescent="0.35">
      <c r="A285" s="3" t="str">
        <f t="shared" si="63"/>
        <v>PRJ284</v>
      </c>
      <c r="B285" s="8" t="str">
        <f t="shared" si="64"/>
        <v>Harmony Enclave 284</v>
      </c>
      <c r="C285" s="3" t="str">
        <f t="shared" si="65"/>
        <v>Central Kerala</v>
      </c>
      <c r="D285" s="3" t="str">
        <f t="shared" si="66"/>
        <v>Thrissur</v>
      </c>
      <c r="E285" s="3" t="str">
        <f t="shared" si="67"/>
        <v>Apartment</v>
      </c>
      <c r="F285" s="4">
        <f t="shared" si="68"/>
        <v>65</v>
      </c>
      <c r="G285" s="6">
        <f t="shared" si="69"/>
        <v>46134</v>
      </c>
      <c r="H285" s="6">
        <f t="shared" si="70"/>
        <v>46314</v>
      </c>
      <c r="I285" s="6">
        <f t="shared" si="71"/>
        <v>46312</v>
      </c>
      <c r="J285" s="3">
        <f t="shared" si="72"/>
        <v>-2</v>
      </c>
      <c r="K285" s="3" t="str">
        <f t="shared" si="73"/>
        <v>Material Delivered</v>
      </c>
      <c r="L285" s="3" t="str">
        <f t="shared" si="74"/>
        <v>In Progress</v>
      </c>
      <c r="M285" s="3" t="str">
        <f t="shared" si="75"/>
        <v>Pending</v>
      </c>
      <c r="N285" s="3" t="str">
        <f t="shared" si="61"/>
        <v>Early</v>
      </c>
      <c r="P285" s="3">
        <f t="shared" si="62"/>
        <v>1</v>
      </c>
    </row>
    <row r="286" spans="1:16" x14ac:dyDescent="0.35">
      <c r="A286" s="3" t="str">
        <f t="shared" si="63"/>
        <v>PRJ285</v>
      </c>
      <c r="B286" s="8" t="str">
        <f t="shared" si="64"/>
        <v>Lakeside Enclave 285</v>
      </c>
      <c r="C286" s="3" t="str">
        <f t="shared" si="65"/>
        <v>South Kerala</v>
      </c>
      <c r="D286" s="3" t="str">
        <f t="shared" si="66"/>
        <v>Trivandrum</v>
      </c>
      <c r="E286" s="3" t="str">
        <f t="shared" si="67"/>
        <v>Hospital</v>
      </c>
      <c r="F286" s="4">
        <f t="shared" si="68"/>
        <v>38</v>
      </c>
      <c r="G286" s="6">
        <f t="shared" si="69"/>
        <v>46141</v>
      </c>
      <c r="H286" s="6">
        <f t="shared" si="70"/>
        <v>46351</v>
      </c>
      <c r="I286" s="6" t="str">
        <f t="shared" si="71"/>
        <v/>
      </c>
      <c r="J286" s="3" t="str">
        <f t="shared" si="72"/>
        <v/>
      </c>
      <c r="K286" s="3" t="str">
        <f t="shared" si="73"/>
        <v>Installation Started</v>
      </c>
      <c r="L286" s="3" t="str">
        <f t="shared" si="74"/>
        <v>In Progress</v>
      </c>
      <c r="M286" s="3" t="str">
        <f t="shared" si="75"/>
        <v>Pending</v>
      </c>
      <c r="N286" s="3" t="str">
        <f t="shared" si="61"/>
        <v>In Progress</v>
      </c>
      <c r="P286" s="3">
        <f t="shared" si="62"/>
        <v>1</v>
      </c>
    </row>
    <row r="287" spans="1:16" x14ac:dyDescent="0.35">
      <c r="A287" s="3" t="str">
        <f t="shared" si="63"/>
        <v>PRJ286</v>
      </c>
      <c r="B287" s="8" t="str">
        <f t="shared" si="64"/>
        <v>Sunrise Enclave 286</v>
      </c>
      <c r="C287" s="3" t="str">
        <f t="shared" si="65"/>
        <v>North Kerala</v>
      </c>
      <c r="D287" s="3" t="str">
        <f t="shared" si="66"/>
        <v>Kozhikode</v>
      </c>
      <c r="E287" s="3" t="str">
        <f t="shared" si="67"/>
        <v>Office</v>
      </c>
      <c r="F287" s="4">
        <f t="shared" si="68"/>
        <v>55</v>
      </c>
      <c r="G287" s="6">
        <f t="shared" si="69"/>
        <v>46148</v>
      </c>
      <c r="H287" s="6">
        <f t="shared" si="70"/>
        <v>46238</v>
      </c>
      <c r="I287" s="6">
        <f t="shared" si="71"/>
        <v>46233</v>
      </c>
      <c r="J287" s="3">
        <f t="shared" si="72"/>
        <v>-5</v>
      </c>
      <c r="K287" s="3" t="str">
        <f t="shared" si="73"/>
        <v>Mechanical Completion</v>
      </c>
      <c r="L287" s="3" t="str">
        <f t="shared" si="74"/>
        <v>In Progress</v>
      </c>
      <c r="M287" s="3" t="str">
        <f t="shared" si="75"/>
        <v>Pending</v>
      </c>
      <c r="N287" s="3" t="str">
        <f t="shared" si="61"/>
        <v>Early</v>
      </c>
      <c r="P287" s="3">
        <f t="shared" si="62"/>
        <v>1</v>
      </c>
    </row>
    <row r="288" spans="1:16" x14ac:dyDescent="0.35">
      <c r="A288" s="3" t="str">
        <f t="shared" si="63"/>
        <v>PRJ287</v>
      </c>
      <c r="B288" s="8" t="str">
        <f t="shared" si="64"/>
        <v>Silver Oak Enclave 287</v>
      </c>
      <c r="C288" s="3" t="str">
        <f t="shared" si="65"/>
        <v>Central Kerala</v>
      </c>
      <c r="D288" s="3" t="str">
        <f t="shared" si="66"/>
        <v>Idukki</v>
      </c>
      <c r="E288" s="3" t="str">
        <f t="shared" si="67"/>
        <v>Hotel</v>
      </c>
      <c r="F288" s="4">
        <f t="shared" si="68"/>
        <v>27</v>
      </c>
      <c r="G288" s="6">
        <f t="shared" si="69"/>
        <v>46155</v>
      </c>
      <c r="H288" s="6">
        <f t="shared" si="70"/>
        <v>46275</v>
      </c>
      <c r="I288" s="6">
        <f t="shared" si="71"/>
        <v>46275</v>
      </c>
      <c r="J288" s="3">
        <f t="shared" si="72"/>
        <v>0</v>
      </c>
      <c r="K288" s="3" t="str">
        <f t="shared" si="73"/>
        <v>Testing &amp; Commissioning</v>
      </c>
      <c r="L288" s="3" t="str">
        <f t="shared" si="74"/>
        <v>In Progress</v>
      </c>
      <c r="M288" s="3" t="str">
        <f t="shared" si="75"/>
        <v>Pending</v>
      </c>
      <c r="N288" s="3" t="str">
        <f t="shared" si="61"/>
        <v>On Time</v>
      </c>
      <c r="P288" s="3">
        <f t="shared" si="62"/>
        <v>1</v>
      </c>
    </row>
    <row r="289" spans="1:16" x14ac:dyDescent="0.35">
      <c r="A289" s="3" t="str">
        <f t="shared" si="63"/>
        <v>PRJ288</v>
      </c>
      <c r="B289" s="8" t="str">
        <f t="shared" si="64"/>
        <v>River View Enclave 288</v>
      </c>
      <c r="C289" s="3" t="str">
        <f t="shared" si="65"/>
        <v>South Kerala</v>
      </c>
      <c r="D289" s="3" t="str">
        <f t="shared" si="66"/>
        <v>Alappuzha</v>
      </c>
      <c r="E289" s="3" t="str">
        <f t="shared" si="67"/>
        <v>Commercial</v>
      </c>
      <c r="F289" s="4">
        <f t="shared" si="68"/>
        <v>21</v>
      </c>
      <c r="G289" s="6">
        <f t="shared" si="69"/>
        <v>46162</v>
      </c>
      <c r="H289" s="6">
        <f t="shared" si="70"/>
        <v>46312</v>
      </c>
      <c r="I289" s="6">
        <f t="shared" si="71"/>
        <v>46319</v>
      </c>
      <c r="J289" s="3">
        <f t="shared" si="72"/>
        <v>7</v>
      </c>
      <c r="K289" s="3" t="str">
        <f t="shared" si="73"/>
        <v>Handover</v>
      </c>
      <c r="L289" s="3" t="str">
        <f t="shared" si="74"/>
        <v>Completed</v>
      </c>
      <c r="M289" s="3" t="str">
        <f t="shared" si="75"/>
        <v>Completed</v>
      </c>
      <c r="N289" s="3" t="str">
        <f t="shared" si="61"/>
        <v>Delayed</v>
      </c>
      <c r="P289" s="3">
        <f t="shared" si="62"/>
        <v>1</v>
      </c>
    </row>
    <row r="290" spans="1:16" x14ac:dyDescent="0.35">
      <c r="A290" s="3" t="str">
        <f t="shared" si="63"/>
        <v>PRJ289</v>
      </c>
      <c r="B290" s="8" t="str">
        <f t="shared" si="64"/>
        <v>Golden Gate Enclave 289</v>
      </c>
      <c r="C290" s="3" t="str">
        <f t="shared" si="65"/>
        <v>North Kerala</v>
      </c>
      <c r="D290" s="3" t="str">
        <f t="shared" si="66"/>
        <v>Kannur</v>
      </c>
      <c r="E290" s="3" t="str">
        <f t="shared" si="67"/>
        <v>Residential</v>
      </c>
      <c r="F290" s="4">
        <f t="shared" si="68"/>
        <v>48</v>
      </c>
      <c r="G290" s="6">
        <f t="shared" si="69"/>
        <v>46169</v>
      </c>
      <c r="H290" s="6">
        <f t="shared" si="70"/>
        <v>46349</v>
      </c>
      <c r="I290" s="6" t="str">
        <f t="shared" si="71"/>
        <v/>
      </c>
      <c r="J290" s="3" t="str">
        <f t="shared" si="72"/>
        <v/>
      </c>
      <c r="K290" s="3" t="str">
        <f t="shared" si="73"/>
        <v>Material Ordered</v>
      </c>
      <c r="L290" s="3" t="str">
        <f t="shared" si="74"/>
        <v>In Progress</v>
      </c>
      <c r="M290" s="3" t="str">
        <f t="shared" si="75"/>
        <v>Pending</v>
      </c>
      <c r="N290" s="3" t="str">
        <f t="shared" si="61"/>
        <v>In Progress</v>
      </c>
      <c r="P290" s="3">
        <f t="shared" si="62"/>
        <v>1</v>
      </c>
    </row>
    <row r="291" spans="1:16" x14ac:dyDescent="0.35">
      <c r="A291" s="3" t="str">
        <f t="shared" si="63"/>
        <v>PRJ290</v>
      </c>
      <c r="B291" s="8" t="str">
        <f t="shared" si="64"/>
        <v>Emerald Enclave 290</v>
      </c>
      <c r="C291" s="3" t="str">
        <f t="shared" si="65"/>
        <v>Central Kerala</v>
      </c>
      <c r="D291" s="3" t="str">
        <f t="shared" si="66"/>
        <v>Thrissur</v>
      </c>
      <c r="E291" s="3" t="str">
        <f t="shared" si="67"/>
        <v>Apartment</v>
      </c>
      <c r="F291" s="4">
        <f t="shared" si="68"/>
        <v>32</v>
      </c>
      <c r="G291" s="6">
        <f t="shared" si="69"/>
        <v>46176</v>
      </c>
      <c r="H291" s="6">
        <f t="shared" si="70"/>
        <v>46386</v>
      </c>
      <c r="I291" s="6">
        <f t="shared" si="71"/>
        <v>46396</v>
      </c>
      <c r="J291" s="3">
        <f t="shared" si="72"/>
        <v>10</v>
      </c>
      <c r="K291" s="3" t="str">
        <f t="shared" si="73"/>
        <v>Material Delivered</v>
      </c>
      <c r="L291" s="3" t="str">
        <f t="shared" si="74"/>
        <v>In Progress</v>
      </c>
      <c r="M291" s="3" t="str">
        <f t="shared" si="75"/>
        <v>Pending</v>
      </c>
      <c r="N291" s="3" t="str">
        <f t="shared" si="61"/>
        <v>Delayed</v>
      </c>
      <c r="P291" s="3">
        <f t="shared" si="62"/>
        <v>1</v>
      </c>
    </row>
    <row r="292" spans="1:16" x14ac:dyDescent="0.35">
      <c r="A292" s="3" t="str">
        <f t="shared" si="63"/>
        <v>PRJ291</v>
      </c>
      <c r="B292" s="8" t="str">
        <f t="shared" si="64"/>
        <v>Green Valley Business Centre 291</v>
      </c>
      <c r="C292" s="3" t="str">
        <f t="shared" si="65"/>
        <v>South Kerala</v>
      </c>
      <c r="D292" s="3" t="str">
        <f t="shared" si="66"/>
        <v>Pathanamthitta</v>
      </c>
      <c r="E292" s="3" t="str">
        <f t="shared" si="67"/>
        <v>Hospital</v>
      </c>
      <c r="F292" s="4">
        <f t="shared" si="68"/>
        <v>18</v>
      </c>
      <c r="G292" s="6">
        <f t="shared" si="69"/>
        <v>46183</v>
      </c>
      <c r="H292" s="6">
        <f t="shared" si="70"/>
        <v>46273</v>
      </c>
      <c r="I292" s="6">
        <f t="shared" si="71"/>
        <v>46268</v>
      </c>
      <c r="J292" s="3">
        <f t="shared" si="72"/>
        <v>-5</v>
      </c>
      <c r="K292" s="3" t="str">
        <f t="shared" si="73"/>
        <v>Installation Started</v>
      </c>
      <c r="L292" s="3" t="str">
        <f t="shared" si="74"/>
        <v>In Progress</v>
      </c>
      <c r="M292" s="3" t="str">
        <f t="shared" si="75"/>
        <v>Pending</v>
      </c>
      <c r="N292" s="3" t="str">
        <f t="shared" si="61"/>
        <v>Early</v>
      </c>
      <c r="P292" s="3">
        <f t="shared" si="62"/>
        <v>1</v>
      </c>
    </row>
    <row r="293" spans="1:16" x14ac:dyDescent="0.35">
      <c r="A293" s="3" t="str">
        <f t="shared" si="63"/>
        <v>PRJ292</v>
      </c>
      <c r="B293" s="8" t="str">
        <f t="shared" si="64"/>
        <v>Royal Palm Business Centre 292</v>
      </c>
      <c r="C293" s="3" t="str">
        <f t="shared" si="65"/>
        <v>North Kerala</v>
      </c>
      <c r="D293" s="3" t="str">
        <f t="shared" si="66"/>
        <v>Kasaragod</v>
      </c>
      <c r="E293" s="3" t="str">
        <f t="shared" si="67"/>
        <v>Office</v>
      </c>
      <c r="F293" s="4">
        <f t="shared" si="68"/>
        <v>24</v>
      </c>
      <c r="G293" s="6">
        <f t="shared" si="69"/>
        <v>46190</v>
      </c>
      <c r="H293" s="6">
        <f t="shared" si="70"/>
        <v>46310</v>
      </c>
      <c r="I293" s="6">
        <f t="shared" si="71"/>
        <v>46310</v>
      </c>
      <c r="J293" s="3">
        <f t="shared" si="72"/>
        <v>0</v>
      </c>
      <c r="K293" s="3" t="str">
        <f t="shared" si="73"/>
        <v>Mechanical Completion</v>
      </c>
      <c r="L293" s="3" t="str">
        <f t="shared" si="74"/>
        <v>In Progress</v>
      </c>
      <c r="M293" s="3" t="str">
        <f t="shared" si="75"/>
        <v>Pending</v>
      </c>
      <c r="N293" s="3" t="str">
        <f t="shared" si="61"/>
        <v>On Time</v>
      </c>
      <c r="P293" s="3">
        <f t="shared" si="62"/>
        <v>1</v>
      </c>
    </row>
    <row r="294" spans="1:16" x14ac:dyDescent="0.35">
      <c r="A294" s="3" t="str">
        <f t="shared" si="63"/>
        <v>PRJ293</v>
      </c>
      <c r="B294" s="8" t="str">
        <f t="shared" si="64"/>
        <v>Skyline Business Centre 293</v>
      </c>
      <c r="C294" s="3" t="str">
        <f t="shared" si="65"/>
        <v>Central Kerala</v>
      </c>
      <c r="D294" s="3" t="str">
        <f t="shared" si="66"/>
        <v>Idukki</v>
      </c>
      <c r="E294" s="3" t="str">
        <f t="shared" si="67"/>
        <v>Hotel</v>
      </c>
      <c r="F294" s="4">
        <f t="shared" si="68"/>
        <v>42</v>
      </c>
      <c r="G294" s="6">
        <f t="shared" si="69"/>
        <v>46197</v>
      </c>
      <c r="H294" s="6">
        <f t="shared" si="70"/>
        <v>46347</v>
      </c>
      <c r="I294" s="6" t="str">
        <f t="shared" si="71"/>
        <v/>
      </c>
      <c r="J294" s="3" t="str">
        <f t="shared" si="72"/>
        <v/>
      </c>
      <c r="K294" s="3" t="str">
        <f t="shared" si="73"/>
        <v>Testing &amp; Commissioning</v>
      </c>
      <c r="L294" s="3" t="str">
        <f t="shared" si="74"/>
        <v>In Progress</v>
      </c>
      <c r="M294" s="3" t="str">
        <f t="shared" si="75"/>
        <v>Pending</v>
      </c>
      <c r="N294" s="3" t="str">
        <f t="shared" si="61"/>
        <v>In Progress</v>
      </c>
      <c r="P294" s="3">
        <f t="shared" si="62"/>
        <v>1</v>
      </c>
    </row>
    <row r="295" spans="1:16" x14ac:dyDescent="0.35">
      <c r="A295" s="3" t="str">
        <f t="shared" si="63"/>
        <v>PRJ294</v>
      </c>
      <c r="B295" s="8" t="str">
        <f t="shared" si="64"/>
        <v>Harmony Business Centre 294</v>
      </c>
      <c r="C295" s="3" t="str">
        <f t="shared" si="65"/>
        <v>South Kerala</v>
      </c>
      <c r="D295" s="3" t="str">
        <f t="shared" si="66"/>
        <v>Kollam</v>
      </c>
      <c r="E295" s="3" t="str">
        <f t="shared" si="67"/>
        <v>Commercial</v>
      </c>
      <c r="F295" s="4">
        <f t="shared" si="68"/>
        <v>65</v>
      </c>
      <c r="G295" s="6">
        <f t="shared" si="69"/>
        <v>46024</v>
      </c>
      <c r="H295" s="6">
        <f t="shared" si="70"/>
        <v>46204</v>
      </c>
      <c r="I295" s="6">
        <f t="shared" si="71"/>
        <v>46202</v>
      </c>
      <c r="J295" s="3">
        <f t="shared" si="72"/>
        <v>-2</v>
      </c>
      <c r="K295" s="3" t="str">
        <f t="shared" si="73"/>
        <v>Handover</v>
      </c>
      <c r="L295" s="3" t="str">
        <f t="shared" si="74"/>
        <v>Completed</v>
      </c>
      <c r="M295" s="3" t="str">
        <f t="shared" si="75"/>
        <v>Completed</v>
      </c>
      <c r="N295" s="3" t="str">
        <f t="shared" si="61"/>
        <v>Early</v>
      </c>
      <c r="P295" s="3">
        <f t="shared" si="62"/>
        <v>1</v>
      </c>
    </row>
    <row r="296" spans="1:16" x14ac:dyDescent="0.35">
      <c r="A296" s="3" t="str">
        <f t="shared" si="63"/>
        <v>PRJ295</v>
      </c>
      <c r="B296" s="8" t="str">
        <f t="shared" si="64"/>
        <v>Lakeside Business Centre 295</v>
      </c>
      <c r="C296" s="3" t="str">
        <f t="shared" si="65"/>
        <v>North Kerala</v>
      </c>
      <c r="D296" s="3" t="str">
        <f t="shared" si="66"/>
        <v>Wayanad</v>
      </c>
      <c r="E296" s="3" t="str">
        <f t="shared" si="67"/>
        <v>Residential</v>
      </c>
      <c r="F296" s="4">
        <f t="shared" si="68"/>
        <v>38</v>
      </c>
      <c r="G296" s="6">
        <f t="shared" si="69"/>
        <v>46031</v>
      </c>
      <c r="H296" s="6">
        <f t="shared" si="70"/>
        <v>46241</v>
      </c>
      <c r="I296" s="6">
        <f t="shared" si="71"/>
        <v>46251</v>
      </c>
      <c r="J296" s="3">
        <f t="shared" si="72"/>
        <v>10</v>
      </c>
      <c r="K296" s="3" t="str">
        <f t="shared" si="73"/>
        <v>Material Ordered</v>
      </c>
      <c r="L296" s="3" t="str">
        <f t="shared" si="74"/>
        <v>In Progress</v>
      </c>
      <c r="M296" s="3" t="str">
        <f t="shared" si="75"/>
        <v>Pending</v>
      </c>
      <c r="N296" s="3" t="str">
        <f t="shared" si="61"/>
        <v>Delayed</v>
      </c>
      <c r="P296" s="3">
        <f t="shared" si="62"/>
        <v>1</v>
      </c>
    </row>
    <row r="297" spans="1:16" x14ac:dyDescent="0.35">
      <c r="A297" s="3" t="str">
        <f t="shared" si="63"/>
        <v>PRJ296</v>
      </c>
      <c r="B297" s="8" t="str">
        <f t="shared" si="64"/>
        <v>Sunrise Business Centre 296</v>
      </c>
      <c r="C297" s="3" t="str">
        <f t="shared" si="65"/>
        <v>Central Kerala</v>
      </c>
      <c r="D297" s="3" t="str">
        <f t="shared" si="66"/>
        <v>Thrissur</v>
      </c>
      <c r="E297" s="3" t="str">
        <f t="shared" si="67"/>
        <v>Apartment</v>
      </c>
      <c r="F297" s="4">
        <f t="shared" si="68"/>
        <v>55</v>
      </c>
      <c r="G297" s="6">
        <f t="shared" si="69"/>
        <v>46038</v>
      </c>
      <c r="H297" s="6">
        <f t="shared" si="70"/>
        <v>46128</v>
      </c>
      <c r="I297" s="6">
        <f t="shared" si="71"/>
        <v>46123</v>
      </c>
      <c r="J297" s="3">
        <f t="shared" si="72"/>
        <v>-5</v>
      </c>
      <c r="K297" s="3" t="str">
        <f t="shared" si="73"/>
        <v>Material Delivered</v>
      </c>
      <c r="L297" s="3" t="str">
        <f t="shared" si="74"/>
        <v>In Progress</v>
      </c>
      <c r="M297" s="3" t="str">
        <f t="shared" si="75"/>
        <v>Pending</v>
      </c>
      <c r="N297" s="3" t="str">
        <f t="shared" si="61"/>
        <v>Early</v>
      </c>
      <c r="P297" s="3">
        <f t="shared" si="62"/>
        <v>1</v>
      </c>
    </row>
    <row r="298" spans="1:16" x14ac:dyDescent="0.35">
      <c r="A298" s="3" t="str">
        <f t="shared" si="63"/>
        <v>PRJ297</v>
      </c>
      <c r="B298" s="8" t="str">
        <f t="shared" si="64"/>
        <v>Silver Oak Business Centre 297</v>
      </c>
      <c r="C298" s="3" t="str">
        <f t="shared" si="65"/>
        <v>South Kerala</v>
      </c>
      <c r="D298" s="3" t="str">
        <f t="shared" si="66"/>
        <v>Trivandrum</v>
      </c>
      <c r="E298" s="3" t="str">
        <f t="shared" si="67"/>
        <v>Hospital</v>
      </c>
      <c r="F298" s="4">
        <f t="shared" si="68"/>
        <v>27</v>
      </c>
      <c r="G298" s="6">
        <f t="shared" si="69"/>
        <v>46045</v>
      </c>
      <c r="H298" s="6">
        <f t="shared" si="70"/>
        <v>46165</v>
      </c>
      <c r="I298" s="6" t="str">
        <f t="shared" si="71"/>
        <v/>
      </c>
      <c r="J298" s="3" t="str">
        <f t="shared" si="72"/>
        <v/>
      </c>
      <c r="K298" s="3" t="str">
        <f t="shared" si="73"/>
        <v>Installation Started</v>
      </c>
      <c r="L298" s="3" t="str">
        <f t="shared" si="74"/>
        <v>In Progress</v>
      </c>
      <c r="M298" s="3" t="str">
        <f t="shared" si="75"/>
        <v>Pending</v>
      </c>
      <c r="N298" s="3" t="str">
        <f t="shared" si="61"/>
        <v>In Progress</v>
      </c>
      <c r="P298" s="3">
        <f t="shared" si="62"/>
        <v>1</v>
      </c>
    </row>
    <row r="299" spans="1:16" x14ac:dyDescent="0.35">
      <c r="A299" s="3" t="str">
        <f t="shared" si="63"/>
        <v>PRJ298</v>
      </c>
      <c r="B299" s="8" t="str">
        <f t="shared" si="64"/>
        <v>River View Business Centre 298</v>
      </c>
      <c r="C299" s="3" t="str">
        <f t="shared" si="65"/>
        <v>North Kerala</v>
      </c>
      <c r="D299" s="3" t="str">
        <f t="shared" si="66"/>
        <v>Kozhikode</v>
      </c>
      <c r="E299" s="3" t="str">
        <f t="shared" si="67"/>
        <v>Office</v>
      </c>
      <c r="F299" s="4">
        <f t="shared" si="68"/>
        <v>21</v>
      </c>
      <c r="G299" s="6">
        <f t="shared" si="69"/>
        <v>46052</v>
      </c>
      <c r="H299" s="6">
        <f t="shared" si="70"/>
        <v>46202</v>
      </c>
      <c r="I299" s="6">
        <f t="shared" si="71"/>
        <v>46209</v>
      </c>
      <c r="J299" s="3">
        <f t="shared" si="72"/>
        <v>7</v>
      </c>
      <c r="K299" s="3" t="str">
        <f t="shared" si="73"/>
        <v>Mechanical Completion</v>
      </c>
      <c r="L299" s="3" t="str">
        <f t="shared" si="74"/>
        <v>In Progress</v>
      </c>
      <c r="M299" s="3" t="str">
        <f t="shared" si="75"/>
        <v>Pending</v>
      </c>
      <c r="N299" s="3" t="str">
        <f t="shared" si="61"/>
        <v>Delayed</v>
      </c>
      <c r="P299" s="3">
        <f t="shared" si="62"/>
        <v>1</v>
      </c>
    </row>
    <row r="300" spans="1:16" x14ac:dyDescent="0.35">
      <c r="A300" s="3" t="str">
        <f t="shared" si="63"/>
        <v>PRJ299</v>
      </c>
      <c r="B300" s="8" t="str">
        <f t="shared" si="64"/>
        <v>Golden Gate Business Centre 299</v>
      </c>
      <c r="C300" s="3" t="str">
        <f t="shared" si="65"/>
        <v>Central Kerala</v>
      </c>
      <c r="D300" s="3" t="str">
        <f t="shared" si="66"/>
        <v>Idukki</v>
      </c>
      <c r="E300" s="3" t="str">
        <f t="shared" si="67"/>
        <v>Hotel</v>
      </c>
      <c r="F300" s="4">
        <f t="shared" si="68"/>
        <v>48</v>
      </c>
      <c r="G300" s="6">
        <f t="shared" si="69"/>
        <v>46059</v>
      </c>
      <c r="H300" s="6">
        <f t="shared" si="70"/>
        <v>46239</v>
      </c>
      <c r="I300" s="6">
        <f t="shared" si="71"/>
        <v>46237</v>
      </c>
      <c r="J300" s="3">
        <f t="shared" si="72"/>
        <v>-2</v>
      </c>
      <c r="K300" s="3" t="str">
        <f t="shared" si="73"/>
        <v>Testing &amp; Commissioning</v>
      </c>
      <c r="L300" s="3" t="str">
        <f t="shared" si="74"/>
        <v>In Progress</v>
      </c>
      <c r="M300" s="3" t="str">
        <f t="shared" si="75"/>
        <v>Pending</v>
      </c>
      <c r="N300" s="3" t="str">
        <f t="shared" si="61"/>
        <v>Early</v>
      </c>
      <c r="P300" s="3">
        <f t="shared" si="62"/>
        <v>1</v>
      </c>
    </row>
    <row r="301" spans="1:16" x14ac:dyDescent="0.35">
      <c r="A301" s="3" t="str">
        <f t="shared" si="63"/>
        <v>PRJ300</v>
      </c>
      <c r="B301" s="8" t="str">
        <f t="shared" si="64"/>
        <v>Emerald Business Centre 300</v>
      </c>
      <c r="C301" s="3" t="str">
        <f t="shared" si="65"/>
        <v>South Kerala</v>
      </c>
      <c r="D301" s="3" t="str">
        <f t="shared" si="66"/>
        <v>Alappuzha</v>
      </c>
      <c r="E301" s="3" t="str">
        <f t="shared" si="67"/>
        <v>Commercial</v>
      </c>
      <c r="F301" s="4">
        <f t="shared" si="68"/>
        <v>32</v>
      </c>
      <c r="G301" s="6">
        <f t="shared" si="69"/>
        <v>46066</v>
      </c>
      <c r="H301" s="6">
        <f t="shared" si="70"/>
        <v>46276</v>
      </c>
      <c r="I301" s="6">
        <f t="shared" si="71"/>
        <v>46286</v>
      </c>
      <c r="J301" s="3">
        <f t="shared" si="72"/>
        <v>10</v>
      </c>
      <c r="K301" s="3" t="str">
        <f t="shared" si="73"/>
        <v>Handover</v>
      </c>
      <c r="L301" s="3" t="str">
        <f t="shared" si="74"/>
        <v>Completed</v>
      </c>
      <c r="M301" s="3" t="str">
        <f t="shared" si="75"/>
        <v>Completed</v>
      </c>
      <c r="N301" s="3" t="str">
        <f t="shared" si="61"/>
        <v>Delayed</v>
      </c>
      <c r="P301" s="3">
        <f t="shared" si="62"/>
        <v>1</v>
      </c>
    </row>
    <row r="302" spans="1:16" x14ac:dyDescent="0.35">
      <c r="A302" s="3" t="s">
        <v>402</v>
      </c>
      <c r="B302" s="8" t="s">
        <v>403</v>
      </c>
      <c r="C302" s="3" t="s">
        <v>12</v>
      </c>
      <c r="D302" s="3" t="s">
        <v>15</v>
      </c>
      <c r="E302" s="3" t="s">
        <v>26</v>
      </c>
      <c r="F302" s="4">
        <v>60</v>
      </c>
      <c r="G302" s="6">
        <v>46249</v>
      </c>
      <c r="H302" s="6">
        <v>46341</v>
      </c>
      <c r="I302" s="6">
        <v>46341</v>
      </c>
      <c r="J302" s="3">
        <v>0</v>
      </c>
      <c r="K302" s="3" t="s">
        <v>32</v>
      </c>
      <c r="L302" s="3" t="s">
        <v>36</v>
      </c>
      <c r="M302" s="3" t="s">
        <v>36</v>
      </c>
      <c r="N302" s="3" t="s">
        <v>82</v>
      </c>
      <c r="P302" s="3">
        <f t="shared" si="62"/>
        <v>1</v>
      </c>
    </row>
    <row r="303" spans="1:16" x14ac:dyDescent="0.35">
      <c r="A303" s="3" t="s">
        <v>404</v>
      </c>
      <c r="B303" s="8" t="s">
        <v>405</v>
      </c>
      <c r="C303" s="3" t="s">
        <v>43</v>
      </c>
      <c r="D303" s="3" t="s">
        <v>406</v>
      </c>
      <c r="E303" s="3" t="s">
        <v>23</v>
      </c>
      <c r="F303" s="4">
        <v>72</v>
      </c>
      <c r="G303" s="6">
        <v>46254</v>
      </c>
      <c r="H303" s="6">
        <v>46376</v>
      </c>
      <c r="I303" s="6">
        <v>46383</v>
      </c>
      <c r="J303" s="3">
        <v>7</v>
      </c>
      <c r="K303" s="3" t="s">
        <v>72</v>
      </c>
      <c r="L303" s="3" t="s">
        <v>36</v>
      </c>
      <c r="M303" s="3" t="s">
        <v>36</v>
      </c>
      <c r="N303" s="3" t="s">
        <v>34</v>
      </c>
      <c r="P303" s="3">
        <f t="shared" si="62"/>
        <v>1</v>
      </c>
    </row>
    <row r="304" spans="1:16" x14ac:dyDescent="0.35">
      <c r="A304" s="3" t="s">
        <v>407</v>
      </c>
      <c r="B304" s="8" t="s">
        <v>408</v>
      </c>
      <c r="C304" s="3" t="s">
        <v>44</v>
      </c>
      <c r="D304" s="3" t="s">
        <v>39</v>
      </c>
      <c r="E304" s="3" t="s">
        <v>24</v>
      </c>
      <c r="F304" s="4">
        <v>45</v>
      </c>
      <c r="G304" s="6">
        <v>46266</v>
      </c>
      <c r="H304" s="6">
        <v>46371</v>
      </c>
      <c r="J304" s="3">
        <v>-5</v>
      </c>
      <c r="K304" s="3" t="s">
        <v>28</v>
      </c>
      <c r="L304" s="3" t="s">
        <v>35</v>
      </c>
      <c r="M304" s="3" t="s">
        <v>38</v>
      </c>
      <c r="N304" s="3" t="s">
        <v>81</v>
      </c>
      <c r="P304" s="3">
        <f t="shared" si="62"/>
        <v>1</v>
      </c>
    </row>
    <row r="305" spans="1:16" x14ac:dyDescent="0.35">
      <c r="A305" s="3" t="s">
        <v>409</v>
      </c>
      <c r="B305" s="8" t="s">
        <v>410</v>
      </c>
      <c r="C305" s="3" t="s">
        <v>12</v>
      </c>
      <c r="D305" s="3" t="s">
        <v>20</v>
      </c>
      <c r="E305" s="3" t="s">
        <v>21</v>
      </c>
      <c r="F305" s="4">
        <v>38</v>
      </c>
      <c r="G305" s="6">
        <v>46275</v>
      </c>
      <c r="H305" s="6">
        <v>46397</v>
      </c>
      <c r="J305" s="3">
        <v>10</v>
      </c>
      <c r="K305" s="3" t="s">
        <v>27</v>
      </c>
      <c r="L305" s="3" t="s">
        <v>35</v>
      </c>
      <c r="M305" s="3" t="s">
        <v>38</v>
      </c>
      <c r="N305" s="3" t="s">
        <v>34</v>
      </c>
      <c r="P305" s="3">
        <f t="shared" si="62"/>
        <v>1</v>
      </c>
    </row>
    <row r="306" spans="1:16" x14ac:dyDescent="0.35">
      <c r="A306" s="3" t="s">
        <v>411</v>
      </c>
      <c r="B306" s="8" t="s">
        <v>412</v>
      </c>
      <c r="C306" s="3" t="s">
        <v>43</v>
      </c>
      <c r="D306" s="3" t="s">
        <v>16</v>
      </c>
      <c r="E306" s="3" t="s">
        <v>22</v>
      </c>
      <c r="F306" s="4">
        <v>55</v>
      </c>
      <c r="G306" s="6">
        <v>46283</v>
      </c>
      <c r="H306" s="6">
        <v>46374</v>
      </c>
      <c r="J306" s="3">
        <v>0</v>
      </c>
      <c r="K306" s="3" t="s">
        <v>46</v>
      </c>
      <c r="L306" s="3" t="s">
        <v>35</v>
      </c>
      <c r="M306" s="3" t="s">
        <v>38</v>
      </c>
      <c r="N306" s="3" t="s">
        <v>82</v>
      </c>
      <c r="P306" s="3">
        <f t="shared" si="62"/>
        <v>1</v>
      </c>
    </row>
    <row r="311" spans="1:16" x14ac:dyDescent="0.35">
      <c r="A311" s="3">
        <f>COUNTIF($A$2:$A$306,"PRJ001")</f>
        <v>1</v>
      </c>
    </row>
    <row r="312" spans="1:16" x14ac:dyDescent="0.35">
      <c r="A312" s="3">
        <f>MAX(COUNTIF($A$2:$A$306,$A$2:$A$306))</f>
        <v>0</v>
      </c>
    </row>
  </sheetData>
  <phoneticPr fontId="3" type="noConversion"/>
  <conditionalFormatting sqref="J2:J306">
    <cfRule type="cellIs" dxfId="2" priority="1" operator="equal">
      <formula>0</formula>
    </cfRule>
    <cfRule type="expression" dxfId="1" priority="2">
      <formula>AND($J2&lt;&gt;"",$J2&gt;0)</formula>
    </cfRule>
    <cfRule type="cellIs" dxfId="0" priority="5" operator="lessThan">
      <formula>0</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2B16239-A86E-4EED-B46B-1C882806304E}">
          <x14:formula1>
            <xm:f>Lists!$A$2:$A$4</xm:f>
          </x14:formula1>
          <xm:sqref>C2:C306</xm:sqref>
        </x14:dataValidation>
        <x14:dataValidation type="list" allowBlank="1" showInputMessage="1" showErrorMessage="1" xr:uid="{75550FB5-9642-446F-8AF8-C304726ACB16}">
          <x14:formula1>
            <xm:f>Lists!$B$2:$B$13</xm:f>
          </x14:formula1>
          <xm:sqref>D2:D306</xm:sqref>
        </x14:dataValidation>
        <x14:dataValidation type="list" allowBlank="1" showInputMessage="1" showErrorMessage="1" xr:uid="{B8007972-D1AA-4293-AB91-51F5E216B539}">
          <x14:formula1>
            <xm:f>Lists!$C$2:$C$8</xm:f>
          </x14:formula1>
          <xm:sqref>E2:E306</xm:sqref>
        </x14:dataValidation>
        <x14:dataValidation type="list" allowBlank="1" showInputMessage="1" showErrorMessage="1" xr:uid="{8D31CE54-9B7F-441C-8F92-D8B8001655EB}">
          <x14:formula1>
            <xm:f>Lists!$D$2:$D$8</xm:f>
          </x14:formula1>
          <xm:sqref>K2:K306</xm:sqref>
        </x14:dataValidation>
        <x14:dataValidation type="list" allowBlank="1" showInputMessage="1" showErrorMessage="1" xr:uid="{34B1074A-BE4C-447B-B688-2D9208EE88B7}">
          <x14:formula1>
            <xm:f>Lists!$E$2:$E$6</xm:f>
          </x14:formula1>
          <xm:sqref>L2:L306</xm:sqref>
        </x14:dataValidation>
        <x14:dataValidation type="list" allowBlank="1" showInputMessage="1" showErrorMessage="1" xr:uid="{C27D7289-ACB9-4D5F-A67D-F031EE80B92E}">
          <x14:formula1>
            <xm:f>Lists!$F$2:$F$3</xm:f>
          </x14:formula1>
          <xm:sqref>M2:M306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A8FE-483E-4EEE-8306-FAEAF2374A8A}">
  <sheetPr>
    <tabColor rgb="FFFFFF00"/>
  </sheetPr>
  <dimension ref="A1:F13"/>
  <sheetViews>
    <sheetView zoomScale="94" zoomScaleNormal="94" workbookViewId="0">
      <selection activeCell="B2" sqref="B2"/>
    </sheetView>
  </sheetViews>
  <sheetFormatPr defaultRowHeight="14.5" x14ac:dyDescent="0.35"/>
  <cols>
    <col min="1" max="1" width="12.36328125" bestFit="1" customWidth="1"/>
    <col min="2" max="2" width="13.90625" bestFit="1" customWidth="1"/>
    <col min="3" max="3" width="13.54296875" bestFit="1" customWidth="1"/>
    <col min="4" max="4" width="19.81640625" bestFit="1" customWidth="1"/>
    <col min="5" max="5" width="10" bestFit="1" customWidth="1"/>
    <col min="6" max="6" width="14.81640625" bestFit="1" customWidth="1"/>
  </cols>
  <sheetData>
    <row r="1" spans="1:6" s="2" customFormat="1" x14ac:dyDescent="0.35">
      <c r="A1" s="2" t="s">
        <v>2</v>
      </c>
      <c r="B1" s="2" t="s">
        <v>3</v>
      </c>
      <c r="C1" s="2" t="s">
        <v>4</v>
      </c>
      <c r="D1" s="2" t="s">
        <v>9</v>
      </c>
      <c r="E1" s="2" t="s">
        <v>10</v>
      </c>
      <c r="F1" s="2" t="s">
        <v>11</v>
      </c>
    </row>
    <row r="2" spans="1:6" x14ac:dyDescent="0.35">
      <c r="A2" t="s">
        <v>12</v>
      </c>
      <c r="B2" t="s">
        <v>13</v>
      </c>
      <c r="C2" t="s">
        <v>21</v>
      </c>
      <c r="D2" t="s">
        <v>46</v>
      </c>
      <c r="E2" t="s">
        <v>33</v>
      </c>
      <c r="F2" t="s">
        <v>38</v>
      </c>
    </row>
    <row r="3" spans="1:6" x14ac:dyDescent="0.35">
      <c r="A3" t="s">
        <v>43</v>
      </c>
      <c r="B3" t="s">
        <v>14</v>
      </c>
      <c r="C3" t="s">
        <v>22</v>
      </c>
      <c r="D3" t="s">
        <v>27</v>
      </c>
      <c r="E3" t="s">
        <v>34</v>
      </c>
      <c r="F3" t="s">
        <v>36</v>
      </c>
    </row>
    <row r="4" spans="1:6" x14ac:dyDescent="0.35">
      <c r="A4" t="s">
        <v>44</v>
      </c>
      <c r="B4" t="s">
        <v>15</v>
      </c>
      <c r="C4" t="s">
        <v>23</v>
      </c>
      <c r="D4" t="s">
        <v>28</v>
      </c>
      <c r="E4" t="s">
        <v>35</v>
      </c>
    </row>
    <row r="5" spans="1:6" x14ac:dyDescent="0.35">
      <c r="B5" t="s">
        <v>16</v>
      </c>
      <c r="C5" t="s">
        <v>24</v>
      </c>
      <c r="D5" t="s">
        <v>29</v>
      </c>
      <c r="E5" t="s">
        <v>36</v>
      </c>
    </row>
    <row r="6" spans="1:6" x14ac:dyDescent="0.35">
      <c r="B6" t="s">
        <v>17</v>
      </c>
      <c r="C6" t="s">
        <v>25</v>
      </c>
      <c r="D6" t="s">
        <v>30</v>
      </c>
      <c r="E6" t="s">
        <v>37</v>
      </c>
    </row>
    <row r="7" spans="1:6" x14ac:dyDescent="0.35">
      <c r="B7" t="s">
        <v>45</v>
      </c>
      <c r="C7" t="s">
        <v>26</v>
      </c>
      <c r="D7" t="s">
        <v>31</v>
      </c>
    </row>
    <row r="8" spans="1:6" x14ac:dyDescent="0.35">
      <c r="B8" t="s">
        <v>18</v>
      </c>
      <c r="C8" t="s">
        <v>42</v>
      </c>
      <c r="D8" t="s">
        <v>32</v>
      </c>
    </row>
    <row r="9" spans="1:6" x14ac:dyDescent="0.35">
      <c r="B9" t="s">
        <v>19</v>
      </c>
    </row>
    <row r="10" spans="1:6" x14ac:dyDescent="0.35">
      <c r="B10" t="s">
        <v>39</v>
      </c>
    </row>
    <row r="11" spans="1:6" x14ac:dyDescent="0.35">
      <c r="B11" t="s">
        <v>40</v>
      </c>
    </row>
    <row r="12" spans="1:6" x14ac:dyDescent="0.35">
      <c r="B12" t="s">
        <v>41</v>
      </c>
    </row>
    <row r="13" spans="1:6" x14ac:dyDescent="0.35">
      <c r="B13"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349D-71E1-4AC7-854C-CC158E435509}">
  <sheetPr>
    <tabColor theme="5" tint="-0.249977111117893"/>
  </sheetPr>
  <dimension ref="A1:T362"/>
  <sheetViews>
    <sheetView zoomScale="55" workbookViewId="0">
      <selection activeCell="A362" sqref="A362"/>
    </sheetView>
  </sheetViews>
  <sheetFormatPr defaultRowHeight="14.5" x14ac:dyDescent="0.35"/>
  <cols>
    <col min="1" max="1" width="14.453125" bestFit="1" customWidth="1"/>
    <col min="2" max="2" width="17" bestFit="1" customWidth="1"/>
    <col min="3" max="3" width="24.08984375" bestFit="1" customWidth="1"/>
    <col min="4" max="4" width="24.36328125" bestFit="1" customWidth="1"/>
    <col min="5" max="5" width="14.453125" bestFit="1" customWidth="1"/>
    <col min="6" max="6" width="27.1796875" bestFit="1" customWidth="1"/>
    <col min="8" max="8" width="14.453125" bestFit="1" customWidth="1"/>
    <col min="9" max="9" width="17" bestFit="1" customWidth="1"/>
    <col min="12" max="12" width="14.453125" bestFit="1" customWidth="1"/>
    <col min="13" max="13" width="17" bestFit="1" customWidth="1"/>
    <col min="15" max="15" width="14.453125" bestFit="1" customWidth="1"/>
    <col min="16" max="16" width="17" bestFit="1" customWidth="1"/>
    <col min="19" max="19" width="15.26953125" bestFit="1" customWidth="1"/>
    <col min="20" max="20" width="17" bestFit="1" customWidth="1"/>
  </cols>
  <sheetData>
    <row r="1" spans="1:20" x14ac:dyDescent="0.35">
      <c r="A1" s="9" t="s">
        <v>68</v>
      </c>
      <c r="B1" t="s">
        <v>70</v>
      </c>
      <c r="D1" s="9" t="s">
        <v>68</v>
      </c>
      <c r="E1" t="s">
        <v>70</v>
      </c>
      <c r="H1" s="9" t="s">
        <v>68</v>
      </c>
      <c r="I1" t="s">
        <v>70</v>
      </c>
      <c r="L1" s="9" t="s">
        <v>68</v>
      </c>
      <c r="M1" t="s">
        <v>70</v>
      </c>
      <c r="O1" s="9" t="s">
        <v>68</v>
      </c>
      <c r="P1" t="s">
        <v>70</v>
      </c>
      <c r="S1" s="9" t="s">
        <v>68</v>
      </c>
      <c r="T1" t="s">
        <v>70</v>
      </c>
    </row>
    <row r="2" spans="1:20" x14ac:dyDescent="0.35">
      <c r="A2" s="10" t="s">
        <v>43</v>
      </c>
      <c r="B2" s="36">
        <v>105</v>
      </c>
      <c r="D2" s="10" t="s">
        <v>32</v>
      </c>
      <c r="E2" s="36">
        <v>57</v>
      </c>
      <c r="H2" s="10" t="s">
        <v>36</v>
      </c>
      <c r="I2" s="36">
        <v>58</v>
      </c>
      <c r="L2" s="10" t="s">
        <v>36</v>
      </c>
      <c r="M2" s="36">
        <v>58</v>
      </c>
      <c r="O2" s="10" t="s">
        <v>25</v>
      </c>
      <c r="P2" s="36">
        <v>49</v>
      </c>
      <c r="S2" s="10" t="s">
        <v>39</v>
      </c>
      <c r="T2" s="36">
        <v>26</v>
      </c>
    </row>
    <row r="3" spans="1:20" x14ac:dyDescent="0.35">
      <c r="A3" s="10" t="s">
        <v>12</v>
      </c>
      <c r="B3" s="36">
        <v>100</v>
      </c>
      <c r="D3" s="10" t="s">
        <v>28</v>
      </c>
      <c r="E3" s="36">
        <v>50</v>
      </c>
      <c r="H3" s="10" t="s">
        <v>35</v>
      </c>
      <c r="I3" s="36">
        <v>247</v>
      </c>
      <c r="L3" s="10" t="s">
        <v>38</v>
      </c>
      <c r="M3" s="36">
        <v>247</v>
      </c>
      <c r="O3" s="10" t="s">
        <v>22</v>
      </c>
      <c r="P3" s="36">
        <v>51</v>
      </c>
      <c r="S3" s="10" t="s">
        <v>73</v>
      </c>
      <c r="T3" s="36">
        <v>49</v>
      </c>
    </row>
    <row r="4" spans="1:20" x14ac:dyDescent="0.35">
      <c r="A4" s="10" t="s">
        <v>44</v>
      </c>
      <c r="B4" s="36">
        <v>100</v>
      </c>
      <c r="D4" s="10" t="s">
        <v>27</v>
      </c>
      <c r="E4" s="36">
        <v>50</v>
      </c>
      <c r="H4" s="10" t="s">
        <v>69</v>
      </c>
      <c r="I4" s="36">
        <v>305</v>
      </c>
      <c r="L4" s="10" t="s">
        <v>69</v>
      </c>
      <c r="M4" s="36">
        <v>305</v>
      </c>
      <c r="O4" s="10" t="s">
        <v>23</v>
      </c>
      <c r="P4" s="36">
        <v>50</v>
      </c>
      <c r="S4" s="10" t="s">
        <v>45</v>
      </c>
      <c r="T4" s="36">
        <v>25</v>
      </c>
    </row>
    <row r="5" spans="1:20" x14ac:dyDescent="0.35">
      <c r="A5" s="10" t="s">
        <v>69</v>
      </c>
      <c r="B5" s="36">
        <v>305</v>
      </c>
      <c r="D5" s="10" t="s">
        <v>46</v>
      </c>
      <c r="E5" s="36">
        <v>50</v>
      </c>
      <c r="O5" s="10" t="s">
        <v>24</v>
      </c>
      <c r="P5" s="36">
        <v>51</v>
      </c>
      <c r="S5" s="10" t="s">
        <v>74</v>
      </c>
      <c r="T5" s="36">
        <v>24</v>
      </c>
    </row>
    <row r="6" spans="1:20" x14ac:dyDescent="0.35">
      <c r="D6" s="10" t="s">
        <v>71</v>
      </c>
      <c r="E6" s="36">
        <v>48</v>
      </c>
      <c r="O6" s="10" t="s">
        <v>26</v>
      </c>
      <c r="P6" s="36">
        <v>51</v>
      </c>
      <c r="S6" s="10" t="s">
        <v>13</v>
      </c>
      <c r="T6" s="36">
        <v>5</v>
      </c>
    </row>
    <row r="7" spans="1:20" x14ac:dyDescent="0.35">
      <c r="D7" s="10" t="s">
        <v>72</v>
      </c>
      <c r="E7" s="36">
        <v>50</v>
      </c>
      <c r="O7" s="10" t="s">
        <v>21</v>
      </c>
      <c r="P7" s="36">
        <v>52</v>
      </c>
      <c r="S7" s="10" t="s">
        <v>19</v>
      </c>
      <c r="T7" s="36">
        <v>25</v>
      </c>
    </row>
    <row r="8" spans="1:20" x14ac:dyDescent="0.35">
      <c r="D8" s="10" t="s">
        <v>69</v>
      </c>
      <c r="E8" s="36">
        <v>305</v>
      </c>
      <c r="O8" s="10" t="s">
        <v>42</v>
      </c>
      <c r="P8" s="36">
        <v>1</v>
      </c>
      <c r="S8" s="10" t="s">
        <v>15</v>
      </c>
      <c r="T8" s="36">
        <v>26</v>
      </c>
    </row>
    <row r="9" spans="1:20" x14ac:dyDescent="0.35">
      <c r="O9" s="10" t="s">
        <v>69</v>
      </c>
      <c r="P9" s="36">
        <v>305</v>
      </c>
      <c r="S9" s="10" t="s">
        <v>40</v>
      </c>
      <c r="T9" s="36">
        <v>24</v>
      </c>
    </row>
    <row r="10" spans="1:20" x14ac:dyDescent="0.35">
      <c r="S10" s="10" t="s">
        <v>16</v>
      </c>
      <c r="T10" s="36">
        <v>50</v>
      </c>
    </row>
    <row r="11" spans="1:20" x14ac:dyDescent="0.35">
      <c r="S11" s="10" t="s">
        <v>14</v>
      </c>
      <c r="T11" s="36">
        <v>25</v>
      </c>
    </row>
    <row r="12" spans="1:20" x14ac:dyDescent="0.35">
      <c r="S12" s="10" t="s">
        <v>20</v>
      </c>
      <c r="T12" s="36">
        <v>25</v>
      </c>
    </row>
    <row r="13" spans="1:20" x14ac:dyDescent="0.35">
      <c r="S13" s="10" t="s">
        <v>406</v>
      </c>
      <c r="T13" s="36">
        <v>1</v>
      </c>
    </row>
    <row r="14" spans="1:20" x14ac:dyDescent="0.35">
      <c r="S14" s="10" t="s">
        <v>69</v>
      </c>
      <c r="T14" s="36">
        <v>305</v>
      </c>
    </row>
    <row r="30" spans="1:4" x14ac:dyDescent="0.35">
      <c r="A30" s="3"/>
      <c r="B30" s="3"/>
      <c r="C30" s="3"/>
      <c r="D30" s="3"/>
    </row>
    <row r="31" spans="1:4" x14ac:dyDescent="0.35">
      <c r="A31" s="9" t="s">
        <v>68</v>
      </c>
      <c r="B31" t="s">
        <v>70</v>
      </c>
    </row>
    <row r="32" spans="1:4" x14ac:dyDescent="0.35">
      <c r="A32" s="10" t="s">
        <v>34</v>
      </c>
      <c r="B32" s="36">
        <v>92</v>
      </c>
    </row>
    <row r="33" spans="1:5" x14ac:dyDescent="0.35">
      <c r="A33" s="10" t="s">
        <v>81</v>
      </c>
      <c r="B33" s="36">
        <v>93</v>
      </c>
      <c r="E33" t="s">
        <v>85</v>
      </c>
    </row>
    <row r="34" spans="1:5" x14ac:dyDescent="0.35">
      <c r="A34" s="10" t="s">
        <v>35</v>
      </c>
      <c r="B34" s="36">
        <v>75</v>
      </c>
      <c r="E34" s="36">
        <v>1.9739130434782608</v>
      </c>
    </row>
    <row r="35" spans="1:5" x14ac:dyDescent="0.35">
      <c r="A35" s="10" t="s">
        <v>82</v>
      </c>
      <c r="B35" s="36">
        <v>45</v>
      </c>
    </row>
    <row r="36" spans="1:5" x14ac:dyDescent="0.35">
      <c r="A36" s="10" t="s">
        <v>69</v>
      </c>
      <c r="B36" s="36">
        <v>305</v>
      </c>
    </row>
    <row r="37" spans="1:5" x14ac:dyDescent="0.35">
      <c r="A37" s="3"/>
    </row>
    <row r="38" spans="1:5" x14ac:dyDescent="0.35">
      <c r="A38" s="3"/>
    </row>
    <row r="39" spans="1:5" x14ac:dyDescent="0.35">
      <c r="A39" s="3"/>
    </row>
    <row r="40" spans="1:5" x14ac:dyDescent="0.35">
      <c r="A40" s="3"/>
    </row>
    <row r="41" spans="1:5" x14ac:dyDescent="0.35">
      <c r="A41" s="3"/>
      <c r="E41" t="s">
        <v>87</v>
      </c>
    </row>
    <row r="42" spans="1:5" x14ac:dyDescent="0.35">
      <c r="A42" s="3"/>
      <c r="E42" s="11">
        <v>11370</v>
      </c>
    </row>
    <row r="43" spans="1:5" x14ac:dyDescent="0.35">
      <c r="A43" s="3"/>
    </row>
    <row r="44" spans="1:5" x14ac:dyDescent="0.35">
      <c r="A44" s="3"/>
    </row>
    <row r="45" spans="1:5" x14ac:dyDescent="0.35">
      <c r="A45" s="3"/>
    </row>
    <row r="46" spans="1:5" x14ac:dyDescent="0.35">
      <c r="A46" s="3"/>
      <c r="E46" t="s">
        <v>89</v>
      </c>
    </row>
    <row r="47" spans="1:5" x14ac:dyDescent="0.35">
      <c r="A47" s="3"/>
      <c r="E47" s="11">
        <v>37.278688524590166</v>
      </c>
    </row>
    <row r="48" spans="1:5" x14ac:dyDescent="0.35">
      <c r="A48" s="3"/>
    </row>
    <row r="49" spans="1:9" x14ac:dyDescent="0.35">
      <c r="A49" s="3"/>
      <c r="B49" s="3"/>
      <c r="C49" s="3"/>
      <c r="D49" s="3"/>
    </row>
    <row r="50" spans="1:9" x14ac:dyDescent="0.35">
      <c r="A50" s="3"/>
      <c r="B50" s="3"/>
      <c r="C50" s="3"/>
      <c r="D50" s="3"/>
      <c r="E50" s="9" t="s">
        <v>68</v>
      </c>
      <c r="F50" t="s">
        <v>87</v>
      </c>
      <c r="H50" s="9" t="s">
        <v>68</v>
      </c>
      <c r="I50" t="s">
        <v>87</v>
      </c>
    </row>
    <row r="51" spans="1:9" x14ac:dyDescent="0.35">
      <c r="A51" s="3"/>
      <c r="B51" s="3"/>
      <c r="C51" s="3"/>
      <c r="D51" s="3"/>
      <c r="E51" s="10" t="s">
        <v>43</v>
      </c>
      <c r="F51" s="11">
        <v>3992</v>
      </c>
      <c r="H51" s="10" t="s">
        <v>36</v>
      </c>
      <c r="I51" s="11">
        <v>2265</v>
      </c>
    </row>
    <row r="52" spans="1:9" x14ac:dyDescent="0.35">
      <c r="A52" s="3"/>
      <c r="B52" s="3"/>
      <c r="C52" s="3"/>
      <c r="D52" s="3"/>
      <c r="E52" s="10" t="s">
        <v>12</v>
      </c>
      <c r="F52" s="11">
        <v>3709</v>
      </c>
      <c r="H52" s="10" t="s">
        <v>35</v>
      </c>
      <c r="I52" s="11">
        <v>9105</v>
      </c>
    </row>
    <row r="53" spans="1:9" x14ac:dyDescent="0.35">
      <c r="A53" s="3"/>
      <c r="B53" s="3"/>
      <c r="C53" s="3"/>
      <c r="D53" s="3"/>
      <c r="E53" s="10" t="s">
        <v>44</v>
      </c>
      <c r="F53" s="11">
        <v>3669</v>
      </c>
      <c r="H53" s="10" t="s">
        <v>69</v>
      </c>
      <c r="I53" s="11">
        <v>11370</v>
      </c>
    </row>
    <row r="54" spans="1:9" x14ac:dyDescent="0.35">
      <c r="A54" s="3"/>
      <c r="B54" s="3"/>
      <c r="C54" s="3"/>
      <c r="D54" s="3"/>
      <c r="E54" s="10" t="s">
        <v>69</v>
      </c>
      <c r="F54" s="11">
        <v>11370</v>
      </c>
    </row>
    <row r="56" spans="1:9" x14ac:dyDescent="0.35">
      <c r="A56" s="9" t="s">
        <v>68</v>
      </c>
      <c r="B56" t="s">
        <v>87</v>
      </c>
    </row>
    <row r="57" spans="1:9" x14ac:dyDescent="0.35">
      <c r="A57" s="10" t="s">
        <v>405</v>
      </c>
      <c r="B57" s="11">
        <v>72</v>
      </c>
    </row>
    <row r="58" spans="1:9" x14ac:dyDescent="0.35">
      <c r="A58" s="10" t="s">
        <v>193</v>
      </c>
      <c r="B58" s="11">
        <v>65</v>
      </c>
      <c r="E58" s="9" t="s">
        <v>68</v>
      </c>
      <c r="F58" t="s">
        <v>87</v>
      </c>
    </row>
    <row r="59" spans="1:9" x14ac:dyDescent="0.35">
      <c r="A59" s="10" t="s">
        <v>201</v>
      </c>
      <c r="B59" s="11">
        <v>65</v>
      </c>
      <c r="E59" s="10" t="s">
        <v>25</v>
      </c>
      <c r="F59" s="11">
        <v>1949</v>
      </c>
    </row>
    <row r="60" spans="1:9" x14ac:dyDescent="0.35">
      <c r="A60" s="10" t="s">
        <v>197</v>
      </c>
      <c r="B60" s="11">
        <v>65</v>
      </c>
      <c r="E60" s="10" t="s">
        <v>22</v>
      </c>
      <c r="F60" s="11">
        <v>2002</v>
      </c>
    </row>
    <row r="61" spans="1:9" x14ac:dyDescent="0.35">
      <c r="A61" s="10" t="s">
        <v>179</v>
      </c>
      <c r="B61" s="11">
        <v>65</v>
      </c>
      <c r="E61" s="10" t="s">
        <v>23</v>
      </c>
      <c r="F61" s="11">
        <v>1754</v>
      </c>
    </row>
    <row r="62" spans="1:9" x14ac:dyDescent="0.35">
      <c r="A62" s="10" t="s">
        <v>205</v>
      </c>
      <c r="B62" s="11">
        <v>65</v>
      </c>
      <c r="E62" s="10" t="s">
        <v>24</v>
      </c>
      <c r="F62" s="11">
        <v>1775</v>
      </c>
    </row>
    <row r="63" spans="1:9" x14ac:dyDescent="0.35">
      <c r="A63" s="10" t="s">
        <v>180</v>
      </c>
      <c r="B63" s="11">
        <v>65</v>
      </c>
      <c r="E63" s="10" t="s">
        <v>26</v>
      </c>
      <c r="F63" s="11">
        <v>2046</v>
      </c>
    </row>
    <row r="64" spans="1:9" x14ac:dyDescent="0.35">
      <c r="A64" s="10" t="s">
        <v>195</v>
      </c>
      <c r="B64" s="11">
        <v>65</v>
      </c>
      <c r="E64" s="10" t="s">
        <v>21</v>
      </c>
      <c r="F64" s="11">
        <v>1789</v>
      </c>
    </row>
    <row r="65" spans="1:6" x14ac:dyDescent="0.35">
      <c r="A65" s="10" t="s">
        <v>181</v>
      </c>
      <c r="B65" s="11">
        <v>65</v>
      </c>
      <c r="E65" s="10" t="s">
        <v>42</v>
      </c>
      <c r="F65" s="11">
        <v>55</v>
      </c>
    </row>
    <row r="66" spans="1:6" x14ac:dyDescent="0.35">
      <c r="A66" s="10" t="s">
        <v>199</v>
      </c>
      <c r="B66" s="11">
        <v>65</v>
      </c>
      <c r="E66" s="10" t="s">
        <v>69</v>
      </c>
      <c r="F66" s="11">
        <v>11370</v>
      </c>
    </row>
    <row r="67" spans="1:6" x14ac:dyDescent="0.35">
      <c r="A67" s="10" t="s">
        <v>182</v>
      </c>
      <c r="B67" s="11">
        <v>65</v>
      </c>
    </row>
    <row r="68" spans="1:6" x14ac:dyDescent="0.35">
      <c r="A68" s="10" t="s">
        <v>203</v>
      </c>
      <c r="B68" s="11">
        <v>65</v>
      </c>
    </row>
    <row r="69" spans="1:6" x14ac:dyDescent="0.35">
      <c r="A69" s="10" t="s">
        <v>183</v>
      </c>
      <c r="B69" s="11">
        <v>65</v>
      </c>
    </row>
    <row r="70" spans="1:6" x14ac:dyDescent="0.35">
      <c r="A70" s="10" t="s">
        <v>192</v>
      </c>
      <c r="B70" s="11">
        <v>65</v>
      </c>
    </row>
    <row r="71" spans="1:6" x14ac:dyDescent="0.35">
      <c r="A71" s="10" t="s">
        <v>184</v>
      </c>
      <c r="B71" s="11">
        <v>65</v>
      </c>
    </row>
    <row r="72" spans="1:6" x14ac:dyDescent="0.35">
      <c r="A72" s="10" t="s">
        <v>194</v>
      </c>
      <c r="B72" s="11">
        <v>65</v>
      </c>
    </row>
    <row r="73" spans="1:6" x14ac:dyDescent="0.35">
      <c r="A73" s="10" t="s">
        <v>185</v>
      </c>
      <c r="B73" s="11">
        <v>65</v>
      </c>
    </row>
    <row r="74" spans="1:6" x14ac:dyDescent="0.35">
      <c r="A74" s="10" t="s">
        <v>196</v>
      </c>
      <c r="B74" s="11">
        <v>65</v>
      </c>
    </row>
    <row r="75" spans="1:6" x14ac:dyDescent="0.35">
      <c r="A75" s="10" t="s">
        <v>186</v>
      </c>
      <c r="B75" s="11">
        <v>65</v>
      </c>
    </row>
    <row r="76" spans="1:6" x14ac:dyDescent="0.35">
      <c r="A76" s="10" t="s">
        <v>198</v>
      </c>
      <c r="B76" s="11">
        <v>65</v>
      </c>
    </row>
    <row r="77" spans="1:6" x14ac:dyDescent="0.35">
      <c r="A77" s="10" t="s">
        <v>187</v>
      </c>
      <c r="B77" s="11">
        <v>65</v>
      </c>
    </row>
    <row r="78" spans="1:6" x14ac:dyDescent="0.35">
      <c r="A78" s="10" t="s">
        <v>200</v>
      </c>
      <c r="B78" s="11">
        <v>65</v>
      </c>
    </row>
    <row r="79" spans="1:6" x14ac:dyDescent="0.35">
      <c r="A79" s="10" t="s">
        <v>188</v>
      </c>
      <c r="B79" s="11">
        <v>65</v>
      </c>
    </row>
    <row r="80" spans="1:6" x14ac:dyDescent="0.35">
      <c r="A80" s="10" t="s">
        <v>202</v>
      </c>
      <c r="B80" s="11">
        <v>65</v>
      </c>
    </row>
    <row r="81" spans="1:4" x14ac:dyDescent="0.35">
      <c r="A81" s="10" t="s">
        <v>189</v>
      </c>
      <c r="B81" s="11">
        <v>65</v>
      </c>
    </row>
    <row r="82" spans="1:4" x14ac:dyDescent="0.35">
      <c r="A82" s="10" t="s">
        <v>204</v>
      </c>
      <c r="B82" s="11">
        <v>65</v>
      </c>
    </row>
    <row r="83" spans="1:4" x14ac:dyDescent="0.35">
      <c r="A83" s="10" t="s">
        <v>190</v>
      </c>
      <c r="B83" s="11">
        <v>65</v>
      </c>
    </row>
    <row r="84" spans="1:4" x14ac:dyDescent="0.35">
      <c r="A84" s="10" t="s">
        <v>178</v>
      </c>
      <c r="B84" s="11">
        <v>65</v>
      </c>
    </row>
    <row r="85" spans="1:4" x14ac:dyDescent="0.35">
      <c r="A85" s="10" t="s">
        <v>206</v>
      </c>
      <c r="B85" s="11">
        <v>65</v>
      </c>
    </row>
    <row r="86" spans="1:4" x14ac:dyDescent="0.35">
      <c r="A86" s="10" t="s">
        <v>191</v>
      </c>
      <c r="B86" s="11">
        <v>65</v>
      </c>
    </row>
    <row r="87" spans="1:4" x14ac:dyDescent="0.35">
      <c r="A87" s="10" t="s">
        <v>60</v>
      </c>
      <c r="B87" s="11">
        <v>65</v>
      </c>
    </row>
    <row r="88" spans="1:4" x14ac:dyDescent="0.35">
      <c r="A88" s="10" t="s">
        <v>403</v>
      </c>
      <c r="B88" s="11">
        <v>60</v>
      </c>
      <c r="D88" s="9" t="s">
        <v>68</v>
      </c>
    </row>
    <row r="89" spans="1:4" x14ac:dyDescent="0.35">
      <c r="A89" s="10" t="s">
        <v>367</v>
      </c>
      <c r="B89" s="11">
        <v>55</v>
      </c>
      <c r="D89" s="10" t="s">
        <v>36</v>
      </c>
    </row>
    <row r="90" spans="1:4" x14ac:dyDescent="0.35">
      <c r="A90" s="10" t="s">
        <v>375</v>
      </c>
      <c r="B90" s="11">
        <v>55</v>
      </c>
      <c r="D90" s="10" t="s">
        <v>35</v>
      </c>
    </row>
    <row r="91" spans="1:4" x14ac:dyDescent="0.35">
      <c r="A91" s="10" t="s">
        <v>371</v>
      </c>
      <c r="B91" s="11">
        <v>55</v>
      </c>
      <c r="D91" s="10" t="s">
        <v>69</v>
      </c>
    </row>
    <row r="92" spans="1:4" x14ac:dyDescent="0.35">
      <c r="A92" s="10" t="s">
        <v>353</v>
      </c>
      <c r="B92" s="11">
        <v>55</v>
      </c>
    </row>
    <row r="93" spans="1:4" x14ac:dyDescent="0.35">
      <c r="A93" s="10" t="s">
        <v>379</v>
      </c>
      <c r="B93" s="11">
        <v>55</v>
      </c>
    </row>
    <row r="94" spans="1:4" x14ac:dyDescent="0.35">
      <c r="A94" s="10" t="s">
        <v>354</v>
      </c>
      <c r="B94" s="11">
        <v>55</v>
      </c>
    </row>
    <row r="95" spans="1:4" x14ac:dyDescent="0.35">
      <c r="A95" s="10" t="s">
        <v>369</v>
      </c>
      <c r="B95" s="11">
        <v>55</v>
      </c>
    </row>
    <row r="96" spans="1:4" x14ac:dyDescent="0.35">
      <c r="A96" s="10" t="s">
        <v>355</v>
      </c>
      <c r="B96" s="11">
        <v>55</v>
      </c>
    </row>
    <row r="97" spans="1:5" x14ac:dyDescent="0.35">
      <c r="A97" s="10" t="s">
        <v>373</v>
      </c>
      <c r="B97" s="11">
        <v>55</v>
      </c>
      <c r="D97" s="9" t="s">
        <v>68</v>
      </c>
      <c r="E97" t="s">
        <v>87</v>
      </c>
    </row>
    <row r="98" spans="1:5" x14ac:dyDescent="0.35">
      <c r="A98" s="10" t="s">
        <v>356</v>
      </c>
      <c r="B98" s="11">
        <v>55</v>
      </c>
      <c r="D98" s="10" t="s">
        <v>36</v>
      </c>
      <c r="E98" s="11">
        <v>2265</v>
      </c>
    </row>
    <row r="99" spans="1:5" x14ac:dyDescent="0.35">
      <c r="A99" s="10" t="s">
        <v>377</v>
      </c>
      <c r="B99" s="11">
        <v>55</v>
      </c>
      <c r="D99" s="10" t="s">
        <v>35</v>
      </c>
      <c r="E99" s="11">
        <v>9105</v>
      </c>
    </row>
    <row r="100" spans="1:5" x14ac:dyDescent="0.35">
      <c r="A100" s="10" t="s">
        <v>357</v>
      </c>
      <c r="B100" s="11">
        <v>55</v>
      </c>
      <c r="D100" s="10" t="s">
        <v>69</v>
      </c>
      <c r="E100" s="11">
        <v>11370</v>
      </c>
    </row>
    <row r="101" spans="1:5" x14ac:dyDescent="0.35">
      <c r="A101" s="10" t="s">
        <v>61</v>
      </c>
      <c r="B101" s="11">
        <v>55</v>
      </c>
    </row>
    <row r="102" spans="1:5" x14ac:dyDescent="0.35">
      <c r="A102" s="10" t="s">
        <v>358</v>
      </c>
      <c r="B102" s="11">
        <v>55</v>
      </c>
    </row>
    <row r="103" spans="1:5" x14ac:dyDescent="0.35">
      <c r="A103" s="10" t="s">
        <v>368</v>
      </c>
      <c r="B103" s="11">
        <v>55</v>
      </c>
    </row>
    <row r="104" spans="1:5" x14ac:dyDescent="0.35">
      <c r="A104" s="10" t="s">
        <v>359</v>
      </c>
      <c r="B104" s="11">
        <v>55</v>
      </c>
    </row>
    <row r="105" spans="1:5" x14ac:dyDescent="0.35">
      <c r="A105" s="10" t="s">
        <v>370</v>
      </c>
      <c r="B105" s="11">
        <v>55</v>
      </c>
    </row>
    <row r="106" spans="1:5" x14ac:dyDescent="0.35">
      <c r="A106" s="10" t="s">
        <v>360</v>
      </c>
      <c r="B106" s="11">
        <v>55</v>
      </c>
    </row>
    <row r="107" spans="1:5" x14ac:dyDescent="0.35">
      <c r="A107" s="10" t="s">
        <v>372</v>
      </c>
      <c r="B107" s="11">
        <v>55</v>
      </c>
    </row>
    <row r="108" spans="1:5" x14ac:dyDescent="0.35">
      <c r="A108" s="10" t="s">
        <v>361</v>
      </c>
      <c r="B108" s="11">
        <v>55</v>
      </c>
    </row>
    <row r="109" spans="1:5" x14ac:dyDescent="0.35">
      <c r="A109" s="10" t="s">
        <v>374</v>
      </c>
      <c r="B109" s="11">
        <v>55</v>
      </c>
    </row>
    <row r="110" spans="1:5" x14ac:dyDescent="0.35">
      <c r="A110" s="10" t="s">
        <v>362</v>
      </c>
      <c r="B110" s="11">
        <v>55</v>
      </c>
    </row>
    <row r="111" spans="1:5" x14ac:dyDescent="0.35">
      <c r="A111" s="10" t="s">
        <v>376</v>
      </c>
      <c r="B111" s="11">
        <v>55</v>
      </c>
    </row>
    <row r="112" spans="1:5" x14ac:dyDescent="0.35">
      <c r="A112" s="10" t="s">
        <v>363</v>
      </c>
      <c r="B112" s="11">
        <v>55</v>
      </c>
    </row>
    <row r="113" spans="1:2" x14ac:dyDescent="0.35">
      <c r="A113" s="10" t="s">
        <v>378</v>
      </c>
      <c r="B113" s="11">
        <v>55</v>
      </c>
    </row>
    <row r="114" spans="1:2" x14ac:dyDescent="0.35">
      <c r="A114" s="10" t="s">
        <v>364</v>
      </c>
      <c r="B114" s="11">
        <v>55</v>
      </c>
    </row>
    <row r="115" spans="1:2" x14ac:dyDescent="0.35">
      <c r="A115" s="10" t="s">
        <v>352</v>
      </c>
      <c r="B115" s="11">
        <v>55</v>
      </c>
    </row>
    <row r="116" spans="1:2" x14ac:dyDescent="0.35">
      <c r="A116" s="10" t="s">
        <v>380</v>
      </c>
      <c r="B116" s="11">
        <v>55</v>
      </c>
    </row>
    <row r="117" spans="1:2" x14ac:dyDescent="0.35">
      <c r="A117" s="10" t="s">
        <v>365</v>
      </c>
      <c r="B117" s="11">
        <v>55</v>
      </c>
    </row>
    <row r="118" spans="1:2" x14ac:dyDescent="0.35">
      <c r="A118" s="10" t="s">
        <v>366</v>
      </c>
      <c r="B118" s="11">
        <v>55</v>
      </c>
    </row>
    <row r="119" spans="1:2" x14ac:dyDescent="0.35">
      <c r="A119" s="10" t="s">
        <v>412</v>
      </c>
      <c r="B119" s="11">
        <v>55</v>
      </c>
    </row>
    <row r="120" spans="1:2" x14ac:dyDescent="0.35">
      <c r="A120" s="10" t="s">
        <v>130</v>
      </c>
      <c r="B120" s="11">
        <v>48</v>
      </c>
    </row>
    <row r="121" spans="1:2" x14ac:dyDescent="0.35">
      <c r="A121" s="10" t="s">
        <v>138</v>
      </c>
      <c r="B121" s="11">
        <v>48</v>
      </c>
    </row>
    <row r="122" spans="1:2" x14ac:dyDescent="0.35">
      <c r="A122" s="10" t="s">
        <v>134</v>
      </c>
      <c r="B122" s="11">
        <v>48</v>
      </c>
    </row>
    <row r="123" spans="1:2" x14ac:dyDescent="0.35">
      <c r="A123" s="10" t="s">
        <v>120</v>
      </c>
      <c r="B123" s="11">
        <v>48</v>
      </c>
    </row>
    <row r="124" spans="1:2" x14ac:dyDescent="0.35">
      <c r="A124" s="10" t="s">
        <v>142</v>
      </c>
      <c r="B124" s="11">
        <v>48</v>
      </c>
    </row>
    <row r="125" spans="1:2" x14ac:dyDescent="0.35">
      <c r="A125" s="10" t="s">
        <v>121</v>
      </c>
      <c r="B125" s="11">
        <v>48</v>
      </c>
    </row>
    <row r="126" spans="1:2" x14ac:dyDescent="0.35">
      <c r="A126" s="10" t="s">
        <v>132</v>
      </c>
      <c r="B126" s="11">
        <v>48</v>
      </c>
    </row>
    <row r="127" spans="1:2" x14ac:dyDescent="0.35">
      <c r="A127" s="10" t="s">
        <v>148</v>
      </c>
      <c r="B127" s="11">
        <v>48</v>
      </c>
    </row>
    <row r="128" spans="1:2" x14ac:dyDescent="0.35">
      <c r="A128" s="10" t="s">
        <v>136</v>
      </c>
      <c r="B128" s="11">
        <v>48</v>
      </c>
    </row>
    <row r="129" spans="1:2" x14ac:dyDescent="0.35">
      <c r="A129" s="10" t="s">
        <v>63</v>
      </c>
      <c r="B129" s="11">
        <v>48</v>
      </c>
    </row>
    <row r="130" spans="1:2" x14ac:dyDescent="0.35">
      <c r="A130" s="10" t="s">
        <v>140</v>
      </c>
      <c r="B130" s="11">
        <v>48</v>
      </c>
    </row>
    <row r="131" spans="1:2" x14ac:dyDescent="0.35">
      <c r="A131" s="10" t="s">
        <v>147</v>
      </c>
      <c r="B131" s="11">
        <v>48</v>
      </c>
    </row>
    <row r="132" spans="1:2" x14ac:dyDescent="0.35">
      <c r="A132" s="10" t="s">
        <v>144</v>
      </c>
      <c r="B132" s="11">
        <v>48</v>
      </c>
    </row>
    <row r="133" spans="1:2" x14ac:dyDescent="0.35">
      <c r="A133" s="10" t="s">
        <v>145</v>
      </c>
      <c r="B133" s="11">
        <v>48</v>
      </c>
    </row>
    <row r="134" spans="1:2" x14ac:dyDescent="0.35">
      <c r="A134" s="10" t="s">
        <v>131</v>
      </c>
      <c r="B134" s="11">
        <v>48</v>
      </c>
    </row>
    <row r="135" spans="1:2" x14ac:dyDescent="0.35">
      <c r="A135" s="10" t="s">
        <v>122</v>
      </c>
      <c r="B135" s="11">
        <v>48</v>
      </c>
    </row>
    <row r="136" spans="1:2" x14ac:dyDescent="0.35">
      <c r="A136" s="10" t="s">
        <v>133</v>
      </c>
      <c r="B136" s="11">
        <v>48</v>
      </c>
    </row>
    <row r="137" spans="1:2" x14ac:dyDescent="0.35">
      <c r="A137" s="10" t="s">
        <v>123</v>
      </c>
      <c r="B137" s="11">
        <v>48</v>
      </c>
    </row>
    <row r="138" spans="1:2" x14ac:dyDescent="0.35">
      <c r="A138" s="10" t="s">
        <v>135</v>
      </c>
      <c r="B138" s="11">
        <v>48</v>
      </c>
    </row>
    <row r="139" spans="1:2" x14ac:dyDescent="0.35">
      <c r="A139" s="10" t="s">
        <v>124</v>
      </c>
      <c r="B139" s="11">
        <v>48</v>
      </c>
    </row>
    <row r="140" spans="1:2" x14ac:dyDescent="0.35">
      <c r="A140" s="10" t="s">
        <v>137</v>
      </c>
      <c r="B140" s="11">
        <v>48</v>
      </c>
    </row>
    <row r="141" spans="1:2" x14ac:dyDescent="0.35">
      <c r="A141" s="10" t="s">
        <v>125</v>
      </c>
      <c r="B141" s="11">
        <v>48</v>
      </c>
    </row>
    <row r="142" spans="1:2" x14ac:dyDescent="0.35">
      <c r="A142" s="10" t="s">
        <v>139</v>
      </c>
      <c r="B142" s="11">
        <v>48</v>
      </c>
    </row>
    <row r="143" spans="1:2" x14ac:dyDescent="0.35">
      <c r="A143" s="10" t="s">
        <v>126</v>
      </c>
      <c r="B143" s="11">
        <v>48</v>
      </c>
    </row>
    <row r="144" spans="1:2" x14ac:dyDescent="0.35">
      <c r="A144" s="10" t="s">
        <v>141</v>
      </c>
      <c r="B144" s="11">
        <v>48</v>
      </c>
    </row>
    <row r="145" spans="1:2" x14ac:dyDescent="0.35">
      <c r="A145" s="10" t="s">
        <v>127</v>
      </c>
      <c r="B145" s="11">
        <v>48</v>
      </c>
    </row>
    <row r="146" spans="1:2" x14ac:dyDescent="0.35">
      <c r="A146" s="10" t="s">
        <v>143</v>
      </c>
      <c r="B146" s="11">
        <v>48</v>
      </c>
    </row>
    <row r="147" spans="1:2" x14ac:dyDescent="0.35">
      <c r="A147" s="10" t="s">
        <v>128</v>
      </c>
      <c r="B147" s="11">
        <v>48</v>
      </c>
    </row>
    <row r="148" spans="1:2" x14ac:dyDescent="0.35">
      <c r="A148" s="10" t="s">
        <v>129</v>
      </c>
      <c r="B148" s="11">
        <v>48</v>
      </c>
    </row>
    <row r="149" spans="1:2" x14ac:dyDescent="0.35">
      <c r="A149" s="10" t="s">
        <v>146</v>
      </c>
      <c r="B149" s="11">
        <v>48</v>
      </c>
    </row>
    <row r="150" spans="1:2" x14ac:dyDescent="0.35">
      <c r="A150" s="10" t="s">
        <v>408</v>
      </c>
      <c r="B150" s="11">
        <v>45</v>
      </c>
    </row>
    <row r="151" spans="1:2" x14ac:dyDescent="0.35">
      <c r="A151" s="10" t="s">
        <v>333</v>
      </c>
      <c r="B151" s="11">
        <v>42</v>
      </c>
    </row>
    <row r="152" spans="1:2" x14ac:dyDescent="0.35">
      <c r="A152" s="10" t="s">
        <v>341</v>
      </c>
      <c r="B152" s="11">
        <v>42</v>
      </c>
    </row>
    <row r="153" spans="1:2" x14ac:dyDescent="0.35">
      <c r="A153" s="10" t="s">
        <v>337</v>
      </c>
      <c r="B153" s="11">
        <v>42</v>
      </c>
    </row>
    <row r="154" spans="1:2" x14ac:dyDescent="0.35">
      <c r="A154" s="10" t="s">
        <v>348</v>
      </c>
      <c r="B154" s="11">
        <v>42</v>
      </c>
    </row>
    <row r="155" spans="1:2" x14ac:dyDescent="0.35">
      <c r="A155" s="10" t="s">
        <v>59</v>
      </c>
      <c r="B155" s="11">
        <v>42</v>
      </c>
    </row>
    <row r="156" spans="1:2" x14ac:dyDescent="0.35">
      <c r="A156" s="10" t="s">
        <v>349</v>
      </c>
      <c r="B156" s="11">
        <v>42</v>
      </c>
    </row>
    <row r="157" spans="1:2" x14ac:dyDescent="0.35">
      <c r="A157" s="10" t="s">
        <v>335</v>
      </c>
      <c r="B157" s="11">
        <v>42</v>
      </c>
    </row>
    <row r="158" spans="1:2" x14ac:dyDescent="0.35">
      <c r="A158" s="10" t="s">
        <v>350</v>
      </c>
      <c r="B158" s="11">
        <v>42</v>
      </c>
    </row>
    <row r="159" spans="1:2" x14ac:dyDescent="0.35">
      <c r="A159" s="10" t="s">
        <v>339</v>
      </c>
      <c r="B159" s="11">
        <v>42</v>
      </c>
    </row>
    <row r="160" spans="1:2" x14ac:dyDescent="0.35">
      <c r="A160" s="10" t="s">
        <v>351</v>
      </c>
      <c r="B160" s="11">
        <v>42</v>
      </c>
    </row>
    <row r="161" spans="1:2" x14ac:dyDescent="0.35">
      <c r="A161" s="10" t="s">
        <v>343</v>
      </c>
      <c r="B161" s="11">
        <v>42</v>
      </c>
    </row>
    <row r="162" spans="1:2" x14ac:dyDescent="0.35">
      <c r="A162" s="10" t="s">
        <v>323</v>
      </c>
      <c r="B162" s="11">
        <v>42</v>
      </c>
    </row>
    <row r="163" spans="1:2" x14ac:dyDescent="0.35">
      <c r="A163" s="10" t="s">
        <v>332</v>
      </c>
      <c r="B163" s="11">
        <v>42</v>
      </c>
    </row>
    <row r="164" spans="1:2" x14ac:dyDescent="0.35">
      <c r="A164" s="10" t="s">
        <v>324</v>
      </c>
      <c r="B164" s="11">
        <v>42</v>
      </c>
    </row>
    <row r="165" spans="1:2" x14ac:dyDescent="0.35">
      <c r="A165" s="10" t="s">
        <v>334</v>
      </c>
      <c r="B165" s="11">
        <v>42</v>
      </c>
    </row>
    <row r="166" spans="1:2" x14ac:dyDescent="0.35">
      <c r="A166" s="10" t="s">
        <v>325</v>
      </c>
      <c r="B166" s="11">
        <v>42</v>
      </c>
    </row>
    <row r="167" spans="1:2" x14ac:dyDescent="0.35">
      <c r="A167" s="10" t="s">
        <v>336</v>
      </c>
      <c r="B167" s="11">
        <v>42</v>
      </c>
    </row>
    <row r="168" spans="1:2" x14ac:dyDescent="0.35">
      <c r="A168" s="10" t="s">
        <v>326</v>
      </c>
      <c r="B168" s="11">
        <v>42</v>
      </c>
    </row>
    <row r="169" spans="1:2" x14ac:dyDescent="0.35">
      <c r="A169" s="10" t="s">
        <v>338</v>
      </c>
      <c r="B169" s="11">
        <v>42</v>
      </c>
    </row>
    <row r="170" spans="1:2" x14ac:dyDescent="0.35">
      <c r="A170" s="10" t="s">
        <v>327</v>
      </c>
      <c r="B170" s="11">
        <v>42</v>
      </c>
    </row>
    <row r="171" spans="1:2" x14ac:dyDescent="0.35">
      <c r="A171" s="10" t="s">
        <v>340</v>
      </c>
      <c r="B171" s="11">
        <v>42</v>
      </c>
    </row>
    <row r="172" spans="1:2" x14ac:dyDescent="0.35">
      <c r="A172" s="10" t="s">
        <v>328</v>
      </c>
      <c r="B172" s="11">
        <v>42</v>
      </c>
    </row>
    <row r="173" spans="1:2" x14ac:dyDescent="0.35">
      <c r="A173" s="10" t="s">
        <v>342</v>
      </c>
      <c r="B173" s="11">
        <v>42</v>
      </c>
    </row>
    <row r="174" spans="1:2" x14ac:dyDescent="0.35">
      <c r="A174" s="10" t="s">
        <v>329</v>
      </c>
      <c r="B174" s="11">
        <v>42</v>
      </c>
    </row>
    <row r="175" spans="1:2" x14ac:dyDescent="0.35">
      <c r="A175" s="10" t="s">
        <v>344</v>
      </c>
      <c r="B175" s="11">
        <v>42</v>
      </c>
    </row>
    <row r="176" spans="1:2" x14ac:dyDescent="0.35">
      <c r="A176" s="10" t="s">
        <v>330</v>
      </c>
      <c r="B176" s="11">
        <v>42</v>
      </c>
    </row>
    <row r="177" spans="1:2" x14ac:dyDescent="0.35">
      <c r="A177" s="10" t="s">
        <v>347</v>
      </c>
      <c r="B177" s="11">
        <v>42</v>
      </c>
    </row>
    <row r="178" spans="1:2" x14ac:dyDescent="0.35">
      <c r="A178" s="10" t="s">
        <v>346</v>
      </c>
      <c r="B178" s="11">
        <v>42</v>
      </c>
    </row>
    <row r="179" spans="1:2" x14ac:dyDescent="0.35">
      <c r="A179" s="10" t="s">
        <v>345</v>
      </c>
      <c r="B179" s="11">
        <v>42</v>
      </c>
    </row>
    <row r="180" spans="1:2" x14ac:dyDescent="0.35">
      <c r="A180" s="10" t="s">
        <v>331</v>
      </c>
      <c r="B180" s="11">
        <v>42</v>
      </c>
    </row>
    <row r="181" spans="1:2" x14ac:dyDescent="0.35">
      <c r="A181" s="10" t="s">
        <v>222</v>
      </c>
      <c r="B181" s="11">
        <v>38</v>
      </c>
    </row>
    <row r="182" spans="1:2" x14ac:dyDescent="0.35">
      <c r="A182" s="10" t="s">
        <v>230</v>
      </c>
      <c r="B182" s="11">
        <v>38</v>
      </c>
    </row>
    <row r="183" spans="1:2" x14ac:dyDescent="0.35">
      <c r="A183" s="10" t="s">
        <v>226</v>
      </c>
      <c r="B183" s="11">
        <v>38</v>
      </c>
    </row>
    <row r="184" spans="1:2" x14ac:dyDescent="0.35">
      <c r="A184" s="10" t="s">
        <v>209</v>
      </c>
      <c r="B184" s="11">
        <v>38</v>
      </c>
    </row>
    <row r="185" spans="1:2" x14ac:dyDescent="0.35">
      <c r="A185" s="10" t="s">
        <v>234</v>
      </c>
      <c r="B185" s="11">
        <v>38</v>
      </c>
    </row>
    <row r="186" spans="1:2" x14ac:dyDescent="0.35">
      <c r="A186" s="10" t="s">
        <v>210</v>
      </c>
      <c r="B186" s="11">
        <v>38</v>
      </c>
    </row>
    <row r="187" spans="1:2" x14ac:dyDescent="0.35">
      <c r="A187" s="10" t="s">
        <v>224</v>
      </c>
      <c r="B187" s="11">
        <v>38</v>
      </c>
    </row>
    <row r="188" spans="1:2" x14ac:dyDescent="0.35">
      <c r="A188" s="10" t="s">
        <v>65</v>
      </c>
      <c r="B188" s="11">
        <v>38</v>
      </c>
    </row>
    <row r="189" spans="1:2" x14ac:dyDescent="0.35">
      <c r="A189" s="10" t="s">
        <v>228</v>
      </c>
      <c r="B189" s="11">
        <v>38</v>
      </c>
    </row>
    <row r="190" spans="1:2" x14ac:dyDescent="0.35">
      <c r="A190" s="10" t="s">
        <v>211</v>
      </c>
      <c r="B190" s="11">
        <v>38</v>
      </c>
    </row>
    <row r="191" spans="1:2" x14ac:dyDescent="0.35">
      <c r="A191" s="10" t="s">
        <v>232</v>
      </c>
      <c r="B191" s="11">
        <v>38</v>
      </c>
    </row>
    <row r="192" spans="1:2" x14ac:dyDescent="0.35">
      <c r="A192" s="10" t="s">
        <v>212</v>
      </c>
      <c r="B192" s="11">
        <v>38</v>
      </c>
    </row>
    <row r="193" spans="1:2" x14ac:dyDescent="0.35">
      <c r="A193" s="10" t="s">
        <v>207</v>
      </c>
      <c r="B193" s="11">
        <v>38</v>
      </c>
    </row>
    <row r="194" spans="1:2" x14ac:dyDescent="0.35">
      <c r="A194" s="10" t="s">
        <v>213</v>
      </c>
      <c r="B194" s="11">
        <v>38</v>
      </c>
    </row>
    <row r="195" spans="1:2" x14ac:dyDescent="0.35">
      <c r="A195" s="10" t="s">
        <v>223</v>
      </c>
      <c r="B195" s="11">
        <v>38</v>
      </c>
    </row>
    <row r="196" spans="1:2" x14ac:dyDescent="0.35">
      <c r="A196" s="10" t="s">
        <v>214</v>
      </c>
      <c r="B196" s="11">
        <v>38</v>
      </c>
    </row>
    <row r="197" spans="1:2" x14ac:dyDescent="0.35">
      <c r="A197" s="10" t="s">
        <v>225</v>
      </c>
      <c r="B197" s="11">
        <v>38</v>
      </c>
    </row>
    <row r="198" spans="1:2" x14ac:dyDescent="0.35">
      <c r="A198" s="10" t="s">
        <v>215</v>
      </c>
      <c r="B198" s="11">
        <v>38</v>
      </c>
    </row>
    <row r="199" spans="1:2" x14ac:dyDescent="0.35">
      <c r="A199" s="10" t="s">
        <v>227</v>
      </c>
      <c r="B199" s="11">
        <v>38</v>
      </c>
    </row>
    <row r="200" spans="1:2" x14ac:dyDescent="0.35">
      <c r="A200" s="10" t="s">
        <v>216</v>
      </c>
      <c r="B200" s="11">
        <v>38</v>
      </c>
    </row>
    <row r="201" spans="1:2" x14ac:dyDescent="0.35">
      <c r="A201" s="10" t="s">
        <v>229</v>
      </c>
      <c r="B201" s="11">
        <v>38</v>
      </c>
    </row>
    <row r="202" spans="1:2" x14ac:dyDescent="0.35">
      <c r="A202" s="10" t="s">
        <v>217</v>
      </c>
      <c r="B202" s="11">
        <v>38</v>
      </c>
    </row>
    <row r="203" spans="1:2" x14ac:dyDescent="0.35">
      <c r="A203" s="10" t="s">
        <v>231</v>
      </c>
      <c r="B203" s="11">
        <v>38</v>
      </c>
    </row>
    <row r="204" spans="1:2" x14ac:dyDescent="0.35">
      <c r="A204" s="10" t="s">
        <v>218</v>
      </c>
      <c r="B204" s="11">
        <v>38</v>
      </c>
    </row>
    <row r="205" spans="1:2" x14ac:dyDescent="0.35">
      <c r="A205" s="10" t="s">
        <v>233</v>
      </c>
      <c r="B205" s="11">
        <v>38</v>
      </c>
    </row>
    <row r="206" spans="1:2" x14ac:dyDescent="0.35">
      <c r="A206" s="10" t="s">
        <v>219</v>
      </c>
      <c r="B206" s="11">
        <v>38</v>
      </c>
    </row>
    <row r="207" spans="1:2" x14ac:dyDescent="0.35">
      <c r="A207" s="10" t="s">
        <v>235</v>
      </c>
      <c r="B207" s="11">
        <v>38</v>
      </c>
    </row>
    <row r="208" spans="1:2" x14ac:dyDescent="0.35">
      <c r="A208" s="10" t="s">
        <v>220</v>
      </c>
      <c r="B208" s="11">
        <v>38</v>
      </c>
    </row>
    <row r="209" spans="1:2" x14ac:dyDescent="0.35">
      <c r="A209" s="10" t="s">
        <v>208</v>
      </c>
      <c r="B209" s="11">
        <v>38</v>
      </c>
    </row>
    <row r="210" spans="1:2" x14ac:dyDescent="0.35">
      <c r="A210" s="10" t="s">
        <v>221</v>
      </c>
      <c r="B210" s="11">
        <v>38</v>
      </c>
    </row>
    <row r="211" spans="1:2" x14ac:dyDescent="0.35">
      <c r="A211" s="10" t="s">
        <v>410</v>
      </c>
      <c r="B211" s="11">
        <v>38</v>
      </c>
    </row>
    <row r="212" spans="1:2" x14ac:dyDescent="0.35">
      <c r="A212" s="10" t="s">
        <v>94</v>
      </c>
      <c r="B212" s="11">
        <v>32</v>
      </c>
    </row>
    <row r="213" spans="1:2" x14ac:dyDescent="0.35">
      <c r="A213" s="10" t="s">
        <v>102</v>
      </c>
      <c r="B213" s="11">
        <v>32</v>
      </c>
    </row>
    <row r="214" spans="1:2" x14ac:dyDescent="0.35">
      <c r="A214" s="10" t="s">
        <v>98</v>
      </c>
      <c r="B214" s="11">
        <v>32</v>
      </c>
    </row>
    <row r="215" spans="1:2" x14ac:dyDescent="0.35">
      <c r="A215" s="10" t="s">
        <v>106</v>
      </c>
      <c r="B215" s="11">
        <v>32</v>
      </c>
    </row>
    <row r="216" spans="1:2" x14ac:dyDescent="0.35">
      <c r="A216" s="10" t="s">
        <v>104</v>
      </c>
      <c r="B216" s="11">
        <v>32</v>
      </c>
    </row>
    <row r="217" spans="1:2" x14ac:dyDescent="0.35">
      <c r="A217" s="10" t="s">
        <v>107</v>
      </c>
      <c r="B217" s="11">
        <v>32</v>
      </c>
    </row>
    <row r="218" spans="1:2" x14ac:dyDescent="0.35">
      <c r="A218" s="10" t="s">
        <v>96</v>
      </c>
      <c r="B218" s="11">
        <v>32</v>
      </c>
    </row>
    <row r="219" spans="1:2" x14ac:dyDescent="0.35">
      <c r="A219" s="10" t="s">
        <v>108</v>
      </c>
      <c r="B219" s="11">
        <v>32</v>
      </c>
    </row>
    <row r="220" spans="1:2" x14ac:dyDescent="0.35">
      <c r="A220" s="10" t="s">
        <v>100</v>
      </c>
      <c r="B220" s="11">
        <v>32</v>
      </c>
    </row>
    <row r="221" spans="1:2" x14ac:dyDescent="0.35">
      <c r="A221" s="10" t="s">
        <v>109</v>
      </c>
      <c r="B221" s="11">
        <v>32</v>
      </c>
    </row>
    <row r="222" spans="1:2" x14ac:dyDescent="0.35">
      <c r="A222" s="10" t="s">
        <v>92</v>
      </c>
      <c r="B222" s="11">
        <v>32</v>
      </c>
    </row>
    <row r="223" spans="1:2" x14ac:dyDescent="0.35">
      <c r="A223" s="10" t="s">
        <v>110</v>
      </c>
      <c r="B223" s="11">
        <v>32</v>
      </c>
    </row>
    <row r="224" spans="1:2" x14ac:dyDescent="0.35">
      <c r="A224" s="10" t="s">
        <v>119</v>
      </c>
      <c r="B224" s="11">
        <v>32</v>
      </c>
    </row>
    <row r="225" spans="1:2" x14ac:dyDescent="0.35">
      <c r="A225" s="10" t="s">
        <v>111</v>
      </c>
      <c r="B225" s="11">
        <v>32</v>
      </c>
    </row>
    <row r="226" spans="1:2" x14ac:dyDescent="0.35">
      <c r="A226" s="10" t="s">
        <v>95</v>
      </c>
      <c r="B226" s="11">
        <v>32</v>
      </c>
    </row>
    <row r="227" spans="1:2" x14ac:dyDescent="0.35">
      <c r="A227" s="10" t="s">
        <v>112</v>
      </c>
      <c r="B227" s="11">
        <v>32</v>
      </c>
    </row>
    <row r="228" spans="1:2" x14ac:dyDescent="0.35">
      <c r="A228" s="10" t="s">
        <v>97</v>
      </c>
      <c r="B228" s="11">
        <v>32</v>
      </c>
    </row>
    <row r="229" spans="1:2" x14ac:dyDescent="0.35">
      <c r="A229" s="10" t="s">
        <v>113</v>
      </c>
      <c r="B229" s="11">
        <v>32</v>
      </c>
    </row>
    <row r="230" spans="1:2" x14ac:dyDescent="0.35">
      <c r="A230" s="10" t="s">
        <v>99</v>
      </c>
      <c r="B230" s="11">
        <v>32</v>
      </c>
    </row>
    <row r="231" spans="1:2" x14ac:dyDescent="0.35">
      <c r="A231" s="10" t="s">
        <v>114</v>
      </c>
      <c r="B231" s="11">
        <v>32</v>
      </c>
    </row>
    <row r="232" spans="1:2" x14ac:dyDescent="0.35">
      <c r="A232" s="10" t="s">
        <v>101</v>
      </c>
      <c r="B232" s="11">
        <v>32</v>
      </c>
    </row>
    <row r="233" spans="1:2" x14ac:dyDescent="0.35">
      <c r="A233" s="10" t="s">
        <v>115</v>
      </c>
      <c r="B233" s="11">
        <v>32</v>
      </c>
    </row>
    <row r="234" spans="1:2" x14ac:dyDescent="0.35">
      <c r="A234" s="10" t="s">
        <v>103</v>
      </c>
      <c r="B234" s="11">
        <v>32</v>
      </c>
    </row>
    <row r="235" spans="1:2" x14ac:dyDescent="0.35">
      <c r="A235" s="10" t="s">
        <v>116</v>
      </c>
      <c r="B235" s="11">
        <v>32</v>
      </c>
    </row>
    <row r="236" spans="1:2" x14ac:dyDescent="0.35">
      <c r="A236" s="10" t="s">
        <v>64</v>
      </c>
      <c r="B236" s="11">
        <v>32</v>
      </c>
    </row>
    <row r="237" spans="1:2" x14ac:dyDescent="0.35">
      <c r="A237" s="10" t="s">
        <v>117</v>
      </c>
      <c r="B237" s="11">
        <v>32</v>
      </c>
    </row>
    <row r="238" spans="1:2" x14ac:dyDescent="0.35">
      <c r="A238" s="10" t="s">
        <v>105</v>
      </c>
      <c r="B238" s="11">
        <v>32</v>
      </c>
    </row>
    <row r="239" spans="1:2" x14ac:dyDescent="0.35">
      <c r="A239" s="10" t="s">
        <v>118</v>
      </c>
      <c r="B239" s="11">
        <v>32</v>
      </c>
    </row>
    <row r="240" spans="1:2" x14ac:dyDescent="0.35">
      <c r="A240" s="10" t="s">
        <v>93</v>
      </c>
      <c r="B240" s="11">
        <v>32</v>
      </c>
    </row>
    <row r="241" spans="1:2" x14ac:dyDescent="0.35">
      <c r="A241" s="10" t="s">
        <v>91</v>
      </c>
      <c r="B241" s="11">
        <v>32</v>
      </c>
    </row>
    <row r="242" spans="1:2" x14ac:dyDescent="0.35">
      <c r="A242" s="10" t="s">
        <v>315</v>
      </c>
      <c r="B242" s="11">
        <v>27</v>
      </c>
    </row>
    <row r="243" spans="1:2" x14ac:dyDescent="0.35">
      <c r="A243" s="10" t="s">
        <v>296</v>
      </c>
      <c r="B243" s="11">
        <v>27</v>
      </c>
    </row>
    <row r="244" spans="1:2" x14ac:dyDescent="0.35">
      <c r="A244" s="10" t="s">
        <v>319</v>
      </c>
      <c r="B244" s="11">
        <v>27</v>
      </c>
    </row>
    <row r="245" spans="1:2" x14ac:dyDescent="0.35">
      <c r="A245" s="10" t="s">
        <v>301</v>
      </c>
      <c r="B245" s="11">
        <v>27</v>
      </c>
    </row>
    <row r="246" spans="1:2" x14ac:dyDescent="0.35">
      <c r="A246" s="10" t="s">
        <v>300</v>
      </c>
      <c r="B246" s="11">
        <v>27</v>
      </c>
    </row>
    <row r="247" spans="1:2" x14ac:dyDescent="0.35">
      <c r="A247" s="10" t="s">
        <v>302</v>
      </c>
      <c r="B247" s="11">
        <v>27</v>
      </c>
    </row>
    <row r="248" spans="1:2" x14ac:dyDescent="0.35">
      <c r="A248" s="10" t="s">
        <v>317</v>
      </c>
      <c r="B248" s="11">
        <v>27</v>
      </c>
    </row>
    <row r="249" spans="1:2" x14ac:dyDescent="0.35">
      <c r="A249" s="10" t="s">
        <v>303</v>
      </c>
      <c r="B249" s="11">
        <v>27</v>
      </c>
    </row>
    <row r="250" spans="1:2" x14ac:dyDescent="0.35">
      <c r="A250" s="10" t="s">
        <v>321</v>
      </c>
      <c r="B250" s="11">
        <v>27</v>
      </c>
    </row>
    <row r="251" spans="1:2" x14ac:dyDescent="0.35">
      <c r="A251" s="10" t="s">
        <v>304</v>
      </c>
      <c r="B251" s="11">
        <v>27</v>
      </c>
    </row>
    <row r="252" spans="1:2" x14ac:dyDescent="0.35">
      <c r="A252" s="10" t="s">
        <v>298</v>
      </c>
      <c r="B252" s="11">
        <v>27</v>
      </c>
    </row>
    <row r="253" spans="1:2" x14ac:dyDescent="0.35">
      <c r="A253" s="10" t="s">
        <v>305</v>
      </c>
      <c r="B253" s="11">
        <v>27</v>
      </c>
    </row>
    <row r="254" spans="1:2" x14ac:dyDescent="0.35">
      <c r="A254" s="10" t="s">
        <v>314</v>
      </c>
      <c r="B254" s="11">
        <v>27</v>
      </c>
    </row>
    <row r="255" spans="1:2" x14ac:dyDescent="0.35">
      <c r="A255" s="10" t="s">
        <v>66</v>
      </c>
      <c r="B255" s="11">
        <v>27</v>
      </c>
    </row>
    <row r="256" spans="1:2" x14ac:dyDescent="0.35">
      <c r="A256" s="10" t="s">
        <v>316</v>
      </c>
      <c r="B256" s="11">
        <v>27</v>
      </c>
    </row>
    <row r="257" spans="1:2" x14ac:dyDescent="0.35">
      <c r="A257" s="10" t="s">
        <v>295</v>
      </c>
      <c r="B257" s="11">
        <v>27</v>
      </c>
    </row>
    <row r="258" spans="1:2" x14ac:dyDescent="0.35">
      <c r="A258" s="10" t="s">
        <v>318</v>
      </c>
      <c r="B258" s="11">
        <v>27</v>
      </c>
    </row>
    <row r="259" spans="1:2" x14ac:dyDescent="0.35">
      <c r="A259" s="10" t="s">
        <v>308</v>
      </c>
      <c r="B259" s="11">
        <v>27</v>
      </c>
    </row>
    <row r="260" spans="1:2" x14ac:dyDescent="0.35">
      <c r="A260" s="10" t="s">
        <v>320</v>
      </c>
      <c r="B260" s="11">
        <v>27</v>
      </c>
    </row>
    <row r="261" spans="1:2" x14ac:dyDescent="0.35">
      <c r="A261" s="10" t="s">
        <v>309</v>
      </c>
      <c r="B261" s="11">
        <v>27</v>
      </c>
    </row>
    <row r="262" spans="1:2" x14ac:dyDescent="0.35">
      <c r="A262" s="10" t="s">
        <v>322</v>
      </c>
      <c r="B262" s="11">
        <v>27</v>
      </c>
    </row>
    <row r="263" spans="1:2" x14ac:dyDescent="0.35">
      <c r="A263" s="10" t="s">
        <v>310</v>
      </c>
      <c r="B263" s="11">
        <v>27</v>
      </c>
    </row>
    <row r="264" spans="1:2" x14ac:dyDescent="0.35">
      <c r="A264" s="10" t="s">
        <v>297</v>
      </c>
      <c r="B264" s="11">
        <v>27</v>
      </c>
    </row>
    <row r="265" spans="1:2" x14ac:dyDescent="0.35">
      <c r="A265" s="10" t="s">
        <v>311</v>
      </c>
      <c r="B265" s="11">
        <v>27</v>
      </c>
    </row>
    <row r="266" spans="1:2" x14ac:dyDescent="0.35">
      <c r="A266" s="10" t="s">
        <v>299</v>
      </c>
      <c r="B266" s="11">
        <v>27</v>
      </c>
    </row>
    <row r="267" spans="1:2" x14ac:dyDescent="0.35">
      <c r="A267" s="10" t="s">
        <v>312</v>
      </c>
      <c r="B267" s="11">
        <v>27</v>
      </c>
    </row>
    <row r="268" spans="1:2" x14ac:dyDescent="0.35">
      <c r="A268" s="10" t="s">
        <v>313</v>
      </c>
      <c r="B268" s="11">
        <v>27</v>
      </c>
    </row>
    <row r="269" spans="1:2" x14ac:dyDescent="0.35">
      <c r="A269" s="10" t="s">
        <v>306</v>
      </c>
      <c r="B269" s="11">
        <v>27</v>
      </c>
    </row>
    <row r="270" spans="1:2" x14ac:dyDescent="0.35">
      <c r="A270" s="10" t="s">
        <v>307</v>
      </c>
      <c r="B270" s="11">
        <v>27</v>
      </c>
    </row>
    <row r="271" spans="1:2" x14ac:dyDescent="0.35">
      <c r="A271" s="10" t="s">
        <v>294</v>
      </c>
      <c r="B271" s="11">
        <v>27</v>
      </c>
    </row>
    <row r="272" spans="1:2" x14ac:dyDescent="0.35">
      <c r="A272" s="10" t="s">
        <v>287</v>
      </c>
      <c r="B272" s="11">
        <v>24</v>
      </c>
    </row>
    <row r="273" spans="1:2" x14ac:dyDescent="0.35">
      <c r="A273" s="10" t="s">
        <v>267</v>
      </c>
      <c r="B273" s="11">
        <v>24</v>
      </c>
    </row>
    <row r="274" spans="1:2" x14ac:dyDescent="0.35">
      <c r="A274" s="10" t="s">
        <v>291</v>
      </c>
      <c r="B274" s="11">
        <v>24</v>
      </c>
    </row>
    <row r="275" spans="1:2" x14ac:dyDescent="0.35">
      <c r="A275" s="10" t="s">
        <v>273</v>
      </c>
      <c r="B275" s="11">
        <v>24</v>
      </c>
    </row>
    <row r="276" spans="1:2" x14ac:dyDescent="0.35">
      <c r="A276" s="10" t="s">
        <v>270</v>
      </c>
      <c r="B276" s="11">
        <v>24</v>
      </c>
    </row>
    <row r="277" spans="1:2" x14ac:dyDescent="0.35">
      <c r="A277" s="10" t="s">
        <v>274</v>
      </c>
      <c r="B277" s="11">
        <v>24</v>
      </c>
    </row>
    <row r="278" spans="1:2" x14ac:dyDescent="0.35">
      <c r="A278" s="10" t="s">
        <v>289</v>
      </c>
      <c r="B278" s="11">
        <v>24</v>
      </c>
    </row>
    <row r="279" spans="1:2" x14ac:dyDescent="0.35">
      <c r="A279" s="10" t="s">
        <v>275</v>
      </c>
      <c r="B279" s="11">
        <v>24</v>
      </c>
    </row>
    <row r="280" spans="1:2" x14ac:dyDescent="0.35">
      <c r="A280" s="10" t="s">
        <v>293</v>
      </c>
      <c r="B280" s="11">
        <v>24</v>
      </c>
    </row>
    <row r="281" spans="1:2" x14ac:dyDescent="0.35">
      <c r="A281" s="10" t="s">
        <v>276</v>
      </c>
      <c r="B281" s="11">
        <v>24</v>
      </c>
    </row>
    <row r="282" spans="1:2" x14ac:dyDescent="0.35">
      <c r="A282" s="10" t="s">
        <v>58</v>
      </c>
      <c r="B282" s="11">
        <v>24</v>
      </c>
    </row>
    <row r="283" spans="1:2" x14ac:dyDescent="0.35">
      <c r="A283" s="10" t="s">
        <v>277</v>
      </c>
      <c r="B283" s="11">
        <v>24</v>
      </c>
    </row>
    <row r="284" spans="1:2" x14ac:dyDescent="0.35">
      <c r="A284" s="10" t="s">
        <v>272</v>
      </c>
      <c r="B284" s="11">
        <v>24</v>
      </c>
    </row>
    <row r="285" spans="1:2" x14ac:dyDescent="0.35">
      <c r="A285" s="10" t="s">
        <v>278</v>
      </c>
      <c r="B285" s="11">
        <v>24</v>
      </c>
    </row>
    <row r="286" spans="1:2" x14ac:dyDescent="0.35">
      <c r="A286" s="10" t="s">
        <v>288</v>
      </c>
      <c r="B286" s="11">
        <v>24</v>
      </c>
    </row>
    <row r="287" spans="1:2" x14ac:dyDescent="0.35">
      <c r="A287" s="10" t="s">
        <v>279</v>
      </c>
      <c r="B287" s="11">
        <v>24</v>
      </c>
    </row>
    <row r="288" spans="1:2" x14ac:dyDescent="0.35">
      <c r="A288" s="10" t="s">
        <v>290</v>
      </c>
      <c r="B288" s="11">
        <v>24</v>
      </c>
    </row>
    <row r="289" spans="1:2" x14ac:dyDescent="0.35">
      <c r="A289" s="10" t="s">
        <v>265</v>
      </c>
      <c r="B289" s="11">
        <v>24</v>
      </c>
    </row>
    <row r="290" spans="1:2" x14ac:dyDescent="0.35">
      <c r="A290" s="10" t="s">
        <v>292</v>
      </c>
      <c r="B290" s="11">
        <v>24</v>
      </c>
    </row>
    <row r="291" spans="1:2" x14ac:dyDescent="0.35">
      <c r="A291" s="10" t="s">
        <v>281</v>
      </c>
      <c r="B291" s="11">
        <v>24</v>
      </c>
    </row>
    <row r="292" spans="1:2" x14ac:dyDescent="0.35">
      <c r="A292" s="10" t="s">
        <v>266</v>
      </c>
      <c r="B292" s="11">
        <v>24</v>
      </c>
    </row>
    <row r="293" spans="1:2" x14ac:dyDescent="0.35">
      <c r="A293" s="10" t="s">
        <v>282</v>
      </c>
      <c r="B293" s="11">
        <v>24</v>
      </c>
    </row>
    <row r="294" spans="1:2" x14ac:dyDescent="0.35">
      <c r="A294" s="10" t="s">
        <v>268</v>
      </c>
      <c r="B294" s="11">
        <v>24</v>
      </c>
    </row>
    <row r="295" spans="1:2" x14ac:dyDescent="0.35">
      <c r="A295" s="10" t="s">
        <v>283</v>
      </c>
      <c r="B295" s="11">
        <v>24</v>
      </c>
    </row>
    <row r="296" spans="1:2" x14ac:dyDescent="0.35">
      <c r="A296" s="10" t="s">
        <v>269</v>
      </c>
      <c r="B296" s="11">
        <v>24</v>
      </c>
    </row>
    <row r="297" spans="1:2" x14ac:dyDescent="0.35">
      <c r="A297" s="10" t="s">
        <v>284</v>
      </c>
      <c r="B297" s="11">
        <v>24</v>
      </c>
    </row>
    <row r="298" spans="1:2" x14ac:dyDescent="0.35">
      <c r="A298" s="10" t="s">
        <v>271</v>
      </c>
      <c r="B298" s="11">
        <v>24</v>
      </c>
    </row>
    <row r="299" spans="1:2" x14ac:dyDescent="0.35">
      <c r="A299" s="10" t="s">
        <v>285</v>
      </c>
      <c r="B299" s="11">
        <v>24</v>
      </c>
    </row>
    <row r="300" spans="1:2" x14ac:dyDescent="0.35">
      <c r="A300" s="10" t="s">
        <v>286</v>
      </c>
      <c r="B300" s="11">
        <v>24</v>
      </c>
    </row>
    <row r="301" spans="1:2" x14ac:dyDescent="0.35">
      <c r="A301" s="10" t="s">
        <v>280</v>
      </c>
      <c r="B301" s="11">
        <v>24</v>
      </c>
    </row>
    <row r="302" spans="1:2" x14ac:dyDescent="0.35">
      <c r="A302" s="10" t="s">
        <v>261</v>
      </c>
      <c r="B302" s="11">
        <v>21</v>
      </c>
    </row>
    <row r="303" spans="1:2" x14ac:dyDescent="0.35">
      <c r="A303" s="10" t="s">
        <v>242</v>
      </c>
      <c r="B303" s="11">
        <v>21</v>
      </c>
    </row>
    <row r="304" spans="1:2" x14ac:dyDescent="0.35">
      <c r="A304" s="10" t="s">
        <v>238</v>
      </c>
      <c r="B304" s="11">
        <v>21</v>
      </c>
    </row>
    <row r="305" spans="1:2" x14ac:dyDescent="0.35">
      <c r="A305" s="10" t="s">
        <v>248</v>
      </c>
      <c r="B305" s="11">
        <v>21</v>
      </c>
    </row>
    <row r="306" spans="1:2" x14ac:dyDescent="0.35">
      <c r="A306" s="10" t="s">
        <v>246</v>
      </c>
      <c r="B306" s="11">
        <v>21</v>
      </c>
    </row>
    <row r="307" spans="1:2" x14ac:dyDescent="0.35">
      <c r="A307" s="10" t="s">
        <v>249</v>
      </c>
      <c r="B307" s="11">
        <v>21</v>
      </c>
    </row>
    <row r="308" spans="1:2" x14ac:dyDescent="0.35">
      <c r="A308" s="10" t="s">
        <v>263</v>
      </c>
      <c r="B308" s="11">
        <v>21</v>
      </c>
    </row>
    <row r="309" spans="1:2" x14ac:dyDescent="0.35">
      <c r="A309" s="10" t="s">
        <v>236</v>
      </c>
      <c r="B309" s="11">
        <v>21</v>
      </c>
    </row>
    <row r="310" spans="1:2" x14ac:dyDescent="0.35">
      <c r="A310" s="10" t="s">
        <v>240</v>
      </c>
      <c r="B310" s="11">
        <v>21</v>
      </c>
    </row>
    <row r="311" spans="1:2" x14ac:dyDescent="0.35">
      <c r="A311" s="10" t="s">
        <v>251</v>
      </c>
      <c r="B311" s="11">
        <v>21</v>
      </c>
    </row>
    <row r="312" spans="1:2" x14ac:dyDescent="0.35">
      <c r="A312" s="10" t="s">
        <v>244</v>
      </c>
      <c r="B312" s="11">
        <v>21</v>
      </c>
    </row>
    <row r="313" spans="1:2" x14ac:dyDescent="0.35">
      <c r="A313" s="10" t="s">
        <v>252</v>
      </c>
      <c r="B313" s="11">
        <v>21</v>
      </c>
    </row>
    <row r="314" spans="1:2" x14ac:dyDescent="0.35">
      <c r="A314" s="10" t="s">
        <v>260</v>
      </c>
      <c r="B314" s="11">
        <v>21</v>
      </c>
    </row>
    <row r="315" spans="1:2" x14ac:dyDescent="0.35">
      <c r="A315" s="10" t="s">
        <v>253</v>
      </c>
      <c r="B315" s="11">
        <v>21</v>
      </c>
    </row>
    <row r="316" spans="1:2" x14ac:dyDescent="0.35">
      <c r="A316" s="10" t="s">
        <v>262</v>
      </c>
      <c r="B316" s="11">
        <v>21</v>
      </c>
    </row>
    <row r="317" spans="1:2" x14ac:dyDescent="0.35">
      <c r="A317" s="10" t="s">
        <v>254</v>
      </c>
      <c r="B317" s="11">
        <v>21</v>
      </c>
    </row>
    <row r="318" spans="1:2" x14ac:dyDescent="0.35">
      <c r="A318" s="10" t="s">
        <v>264</v>
      </c>
      <c r="B318" s="11">
        <v>21</v>
      </c>
    </row>
    <row r="319" spans="1:2" x14ac:dyDescent="0.35">
      <c r="A319" s="10" t="s">
        <v>255</v>
      </c>
      <c r="B319" s="11">
        <v>21</v>
      </c>
    </row>
    <row r="320" spans="1:2" x14ac:dyDescent="0.35">
      <c r="A320" s="10" t="s">
        <v>239</v>
      </c>
      <c r="B320" s="11">
        <v>21</v>
      </c>
    </row>
    <row r="321" spans="1:2" x14ac:dyDescent="0.35">
      <c r="A321" s="10" t="s">
        <v>256</v>
      </c>
      <c r="B321" s="11">
        <v>21</v>
      </c>
    </row>
    <row r="322" spans="1:2" x14ac:dyDescent="0.35">
      <c r="A322" s="10" t="s">
        <v>241</v>
      </c>
      <c r="B322" s="11">
        <v>21</v>
      </c>
    </row>
    <row r="323" spans="1:2" x14ac:dyDescent="0.35">
      <c r="A323" s="10" t="s">
        <v>257</v>
      </c>
      <c r="B323" s="11">
        <v>21</v>
      </c>
    </row>
    <row r="324" spans="1:2" x14ac:dyDescent="0.35">
      <c r="A324" s="10" t="s">
        <v>243</v>
      </c>
      <c r="B324" s="11">
        <v>21</v>
      </c>
    </row>
    <row r="325" spans="1:2" x14ac:dyDescent="0.35">
      <c r="A325" s="10" t="s">
        <v>62</v>
      </c>
      <c r="B325" s="11">
        <v>21</v>
      </c>
    </row>
    <row r="326" spans="1:2" x14ac:dyDescent="0.35">
      <c r="A326" s="10" t="s">
        <v>245</v>
      </c>
      <c r="B326" s="11">
        <v>21</v>
      </c>
    </row>
    <row r="327" spans="1:2" x14ac:dyDescent="0.35">
      <c r="A327" s="10" t="s">
        <v>258</v>
      </c>
      <c r="B327" s="11">
        <v>21</v>
      </c>
    </row>
    <row r="328" spans="1:2" x14ac:dyDescent="0.35">
      <c r="A328" s="10" t="s">
        <v>247</v>
      </c>
      <c r="B328" s="11">
        <v>21</v>
      </c>
    </row>
    <row r="329" spans="1:2" x14ac:dyDescent="0.35">
      <c r="A329" s="10" t="s">
        <v>259</v>
      </c>
      <c r="B329" s="11">
        <v>21</v>
      </c>
    </row>
    <row r="330" spans="1:2" x14ac:dyDescent="0.35">
      <c r="A330" s="10" t="s">
        <v>250</v>
      </c>
      <c r="B330" s="11">
        <v>21</v>
      </c>
    </row>
    <row r="331" spans="1:2" x14ac:dyDescent="0.35">
      <c r="A331" s="10" t="s">
        <v>237</v>
      </c>
      <c r="B331" s="11">
        <v>21</v>
      </c>
    </row>
    <row r="332" spans="1:2" x14ac:dyDescent="0.35">
      <c r="A332" s="10" t="s">
        <v>174</v>
      </c>
      <c r="B332" s="11">
        <v>18</v>
      </c>
    </row>
    <row r="333" spans="1:2" x14ac:dyDescent="0.35">
      <c r="A333" s="10" t="s">
        <v>152</v>
      </c>
      <c r="B333" s="11">
        <v>18</v>
      </c>
    </row>
    <row r="334" spans="1:2" x14ac:dyDescent="0.35">
      <c r="A334" s="10" t="s">
        <v>177</v>
      </c>
      <c r="B334" s="11">
        <v>18</v>
      </c>
    </row>
    <row r="335" spans="1:2" x14ac:dyDescent="0.35">
      <c r="A335" s="10" t="s">
        <v>160</v>
      </c>
      <c r="B335" s="11">
        <v>18</v>
      </c>
    </row>
    <row r="336" spans="1:2" x14ac:dyDescent="0.35">
      <c r="A336" s="10" t="s">
        <v>156</v>
      </c>
      <c r="B336" s="11">
        <v>18</v>
      </c>
    </row>
    <row r="337" spans="1:2" x14ac:dyDescent="0.35">
      <c r="A337" s="10" t="s">
        <v>161</v>
      </c>
      <c r="B337" s="11">
        <v>18</v>
      </c>
    </row>
    <row r="338" spans="1:2" x14ac:dyDescent="0.35">
      <c r="A338" s="10" t="s">
        <v>175</v>
      </c>
      <c r="B338" s="11">
        <v>18</v>
      </c>
    </row>
    <row r="339" spans="1:2" x14ac:dyDescent="0.35">
      <c r="A339" s="10" t="s">
        <v>162</v>
      </c>
      <c r="B339" s="11">
        <v>18</v>
      </c>
    </row>
    <row r="340" spans="1:2" x14ac:dyDescent="0.35">
      <c r="A340" s="10" t="s">
        <v>150</v>
      </c>
      <c r="B340" s="11">
        <v>18</v>
      </c>
    </row>
    <row r="341" spans="1:2" x14ac:dyDescent="0.35">
      <c r="A341" s="10" t="s">
        <v>163</v>
      </c>
      <c r="B341" s="11">
        <v>18</v>
      </c>
    </row>
    <row r="342" spans="1:2" x14ac:dyDescent="0.35">
      <c r="A342" s="10" t="s">
        <v>154</v>
      </c>
      <c r="B342" s="11">
        <v>18</v>
      </c>
    </row>
    <row r="343" spans="1:2" x14ac:dyDescent="0.35">
      <c r="A343" s="10" t="s">
        <v>164</v>
      </c>
      <c r="B343" s="11">
        <v>18</v>
      </c>
    </row>
    <row r="344" spans="1:2" x14ac:dyDescent="0.35">
      <c r="A344" s="10" t="s">
        <v>158</v>
      </c>
      <c r="B344" s="11">
        <v>18</v>
      </c>
    </row>
    <row r="345" spans="1:2" x14ac:dyDescent="0.35">
      <c r="A345" s="10" t="s">
        <v>165</v>
      </c>
      <c r="B345" s="11">
        <v>18</v>
      </c>
    </row>
    <row r="346" spans="1:2" x14ac:dyDescent="0.35">
      <c r="A346" s="10" t="s">
        <v>57</v>
      </c>
      <c r="B346" s="11">
        <v>18</v>
      </c>
    </row>
    <row r="347" spans="1:2" x14ac:dyDescent="0.35">
      <c r="A347" s="10" t="s">
        <v>166</v>
      </c>
      <c r="B347" s="11">
        <v>18</v>
      </c>
    </row>
    <row r="348" spans="1:2" x14ac:dyDescent="0.35">
      <c r="A348" s="10" t="s">
        <v>176</v>
      </c>
      <c r="B348" s="11">
        <v>18</v>
      </c>
    </row>
    <row r="349" spans="1:2" x14ac:dyDescent="0.35">
      <c r="A349" s="10" t="s">
        <v>167</v>
      </c>
      <c r="B349" s="11">
        <v>18</v>
      </c>
    </row>
    <row r="350" spans="1:2" x14ac:dyDescent="0.35">
      <c r="A350" s="10" t="s">
        <v>149</v>
      </c>
      <c r="B350" s="11">
        <v>18</v>
      </c>
    </row>
    <row r="351" spans="1:2" x14ac:dyDescent="0.35">
      <c r="A351" s="10" t="s">
        <v>168</v>
      </c>
      <c r="B351" s="11">
        <v>18</v>
      </c>
    </row>
    <row r="352" spans="1:2" x14ac:dyDescent="0.35">
      <c r="A352" s="10" t="s">
        <v>151</v>
      </c>
      <c r="B352" s="11">
        <v>18</v>
      </c>
    </row>
    <row r="353" spans="1:2" x14ac:dyDescent="0.35">
      <c r="A353" s="10" t="s">
        <v>169</v>
      </c>
      <c r="B353" s="11">
        <v>18</v>
      </c>
    </row>
    <row r="354" spans="1:2" x14ac:dyDescent="0.35">
      <c r="A354" s="10" t="s">
        <v>153</v>
      </c>
      <c r="B354" s="11">
        <v>18</v>
      </c>
    </row>
    <row r="355" spans="1:2" x14ac:dyDescent="0.35">
      <c r="A355" s="10" t="s">
        <v>170</v>
      </c>
      <c r="B355" s="11">
        <v>18</v>
      </c>
    </row>
    <row r="356" spans="1:2" x14ac:dyDescent="0.35">
      <c r="A356" s="10" t="s">
        <v>155</v>
      </c>
      <c r="B356" s="11">
        <v>18</v>
      </c>
    </row>
    <row r="357" spans="1:2" x14ac:dyDescent="0.35">
      <c r="A357" s="10" t="s">
        <v>171</v>
      </c>
      <c r="B357" s="11">
        <v>18</v>
      </c>
    </row>
    <row r="358" spans="1:2" x14ac:dyDescent="0.35">
      <c r="A358" s="10" t="s">
        <v>157</v>
      </c>
      <c r="B358" s="11">
        <v>18</v>
      </c>
    </row>
    <row r="359" spans="1:2" x14ac:dyDescent="0.35">
      <c r="A359" s="10" t="s">
        <v>172</v>
      </c>
      <c r="B359" s="11">
        <v>18</v>
      </c>
    </row>
    <row r="360" spans="1:2" x14ac:dyDescent="0.35">
      <c r="A360" s="10" t="s">
        <v>159</v>
      </c>
      <c r="B360" s="11">
        <v>18</v>
      </c>
    </row>
    <row r="361" spans="1:2" x14ac:dyDescent="0.35">
      <c r="A361" s="10" t="s">
        <v>173</v>
      </c>
      <c r="B361" s="11">
        <v>18</v>
      </c>
    </row>
    <row r="362" spans="1:2" x14ac:dyDescent="0.35">
      <c r="A362" s="10" t="s">
        <v>69</v>
      </c>
      <c r="B362" s="11">
        <v>11370</v>
      </c>
    </row>
  </sheetData>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EF2A-B8E3-481F-85CC-8CEBDCF9D57B}">
  <sheetPr>
    <tabColor rgb="FF00B050"/>
    <pageSetUpPr fitToPage="1"/>
  </sheetPr>
  <dimension ref="A1:AI140"/>
  <sheetViews>
    <sheetView showGridLines="0" tabSelected="1" zoomScale="46" zoomScaleNormal="50" workbookViewId="0">
      <selection activeCell="T21" sqref="T21"/>
    </sheetView>
  </sheetViews>
  <sheetFormatPr defaultRowHeight="14.5" x14ac:dyDescent="0.35"/>
  <cols>
    <col min="4" max="4" width="5.54296875" customWidth="1"/>
    <col min="8" max="8" width="5.54296875" customWidth="1"/>
    <col min="12" max="12" width="6.90625" customWidth="1"/>
    <col min="16" max="16" width="5.26953125" customWidth="1"/>
    <col min="20" max="20" width="6.453125" customWidth="1"/>
    <col min="23" max="23" width="11.7265625" customWidth="1"/>
    <col min="24" max="24" width="3.54296875" customWidth="1"/>
    <col min="27" max="27" width="8.453125" customWidth="1"/>
    <col min="28" max="28" width="4.81640625" customWidth="1"/>
    <col min="31" max="31" width="14" customWidth="1"/>
    <col min="32" max="32" width="5.36328125" customWidth="1"/>
    <col min="35" max="35" width="17" customWidth="1"/>
  </cols>
  <sheetData>
    <row r="1" spans="1:35" x14ac:dyDescent="0.35">
      <c r="A1" s="35" t="s">
        <v>75</v>
      </c>
      <c r="B1" s="35"/>
      <c r="C1" s="35"/>
      <c r="D1" s="35"/>
      <c r="E1" s="35"/>
      <c r="F1" s="35"/>
      <c r="G1" s="35"/>
      <c r="H1" s="35"/>
      <c r="I1" s="35"/>
      <c r="J1" s="35"/>
      <c r="K1" s="35"/>
      <c r="L1" s="35"/>
      <c r="M1" s="35"/>
      <c r="N1" s="35"/>
    </row>
    <row r="2" spans="1:35" ht="22" customHeight="1" x14ac:dyDescent="0.35">
      <c r="A2" s="35"/>
      <c r="B2" s="35"/>
      <c r="C2" s="35"/>
      <c r="D2" s="35"/>
      <c r="E2" s="35"/>
      <c r="F2" s="35"/>
      <c r="G2" s="35"/>
      <c r="H2" s="35"/>
      <c r="I2" s="35"/>
      <c r="J2" s="35"/>
      <c r="K2" s="35"/>
      <c r="L2" s="35"/>
      <c r="M2" s="35"/>
      <c r="N2" s="35"/>
    </row>
    <row r="4" spans="1:35" ht="15" thickBot="1" x14ac:dyDescent="0.4">
      <c r="A4" s="22" t="s">
        <v>76</v>
      </c>
      <c r="B4" s="22"/>
      <c r="C4" s="22"/>
      <c r="E4" s="22" t="s">
        <v>77</v>
      </c>
      <c r="F4" s="22"/>
      <c r="G4" s="22"/>
      <c r="I4" s="22" t="s">
        <v>78</v>
      </c>
      <c r="J4" s="22"/>
      <c r="K4" s="22"/>
      <c r="M4" s="22" t="s">
        <v>79</v>
      </c>
      <c r="N4" s="22"/>
      <c r="O4" s="22"/>
      <c r="Q4" s="22" t="s">
        <v>83</v>
      </c>
      <c r="R4" s="22"/>
      <c r="S4" s="22"/>
      <c r="U4" s="22" t="s">
        <v>84</v>
      </c>
      <c r="V4" s="22"/>
      <c r="W4" s="22"/>
      <c r="Y4" s="22" t="s">
        <v>86</v>
      </c>
      <c r="Z4" s="22"/>
      <c r="AA4" s="22"/>
      <c r="AC4" s="22" t="s">
        <v>88</v>
      </c>
      <c r="AD4" s="22"/>
      <c r="AE4" s="22"/>
      <c r="AG4" s="22" t="s">
        <v>90</v>
      </c>
      <c r="AH4" s="22"/>
      <c r="AI4" s="22"/>
    </row>
    <row r="5" spans="1:35" ht="14.5" customHeight="1" x14ac:dyDescent="0.35">
      <c r="A5" s="23">
        <f>IFERROR(GETPIVOTDATA("Count of Project ID",Pivot!$A$1),0)</f>
        <v>305</v>
      </c>
      <c r="B5" s="24"/>
      <c r="C5" s="25"/>
      <c r="E5" s="23">
        <f>IFERROR(GETPIVOTDATA("Count of Project ID",Pivot!$H$1,"Status","Completed"),0)</f>
        <v>58</v>
      </c>
      <c r="F5" s="24"/>
      <c r="G5" s="25"/>
      <c r="I5" s="23">
        <f>IFERROR(GETPIVOTDATA("Count of Project ID",Pivot!$H$1,"Status","In Progress"),0)</f>
        <v>247</v>
      </c>
      <c r="J5" s="24"/>
      <c r="K5" s="25"/>
      <c r="M5" s="23">
        <f>IFERROR(GETPIVOTDATA("Count of Project ID",Pivot!$L$1,"Handover Status","Completed"),0)</f>
        <v>58</v>
      </c>
      <c r="N5" s="24"/>
      <c r="O5" s="25"/>
      <c r="Q5" s="23">
        <f>IFERROR(GETPIVOTDATA("Count of Project ID",Pivot!$A$31,"Delay Status","Delayed"),0)</f>
        <v>92</v>
      </c>
      <c r="R5" s="24"/>
      <c r="S5" s="25"/>
      <c r="U5" s="23">
        <f>IFERROR(GETPIVOTDATA("Count of Project ID",Pivot!$A$31,"Delay Status","On Time"),0)</f>
        <v>45</v>
      </c>
      <c r="V5" s="24"/>
      <c r="W5" s="25"/>
      <c r="Y5" s="29">
        <f>IFERROR(GETPIVOTDATA("Average of Delay (Days)",Pivot!$E$33),0)</f>
        <v>1.9739130434782608</v>
      </c>
      <c r="Z5" s="30"/>
      <c r="AA5" s="31"/>
      <c r="AC5" s="37">
        <f>GETPIVOTDATA("Project Value (₹  Lakhs)",Pivot!$E$41)</f>
        <v>11370</v>
      </c>
      <c r="AD5" s="38"/>
      <c r="AE5" s="39"/>
      <c r="AG5" s="37">
        <f>GETPIVOTDATA("Project Value (₹  Lakhs)",Pivot!$E$46)</f>
        <v>37.278688524590166</v>
      </c>
      <c r="AH5" s="38"/>
      <c r="AI5" s="39"/>
    </row>
    <row r="6" spans="1:35" ht="15" customHeight="1" thickBot="1" x14ac:dyDescent="0.4">
      <c r="A6" s="26"/>
      <c r="B6" s="27"/>
      <c r="C6" s="28"/>
      <c r="E6" s="26"/>
      <c r="F6" s="27"/>
      <c r="G6" s="28"/>
      <c r="I6" s="26"/>
      <c r="J6" s="27"/>
      <c r="K6" s="28"/>
      <c r="M6" s="26"/>
      <c r="N6" s="27"/>
      <c r="O6" s="28"/>
      <c r="Q6" s="26"/>
      <c r="R6" s="27"/>
      <c r="S6" s="28"/>
      <c r="U6" s="26"/>
      <c r="V6" s="27"/>
      <c r="W6" s="28"/>
      <c r="Y6" s="32"/>
      <c r="Z6" s="33"/>
      <c r="AA6" s="34"/>
      <c r="AC6" s="40"/>
      <c r="AD6" s="41"/>
      <c r="AE6" s="42"/>
      <c r="AG6" s="40"/>
      <c r="AH6" s="41"/>
      <c r="AI6" s="42"/>
    </row>
    <row r="9" spans="1:35" x14ac:dyDescent="0.35">
      <c r="AC9" s="44" t="s">
        <v>381</v>
      </c>
      <c r="AD9" s="44"/>
      <c r="AE9" s="44"/>
      <c r="AF9" s="44"/>
      <c r="AG9" s="44"/>
    </row>
    <row r="10" spans="1:35" x14ac:dyDescent="0.35">
      <c r="AC10" s="43" t="s">
        <v>382</v>
      </c>
      <c r="AD10" s="43"/>
      <c r="AE10" s="43"/>
      <c r="AF10" s="43"/>
      <c r="AG10" s="43"/>
    </row>
    <row r="11" spans="1:35" x14ac:dyDescent="0.35">
      <c r="AC11" s="43" t="s">
        <v>383</v>
      </c>
      <c r="AD11" s="43"/>
      <c r="AE11" s="43"/>
      <c r="AF11" s="43"/>
      <c r="AG11" s="43"/>
    </row>
    <row r="39" ht="14.5" customHeight="1" x14ac:dyDescent="0.35"/>
    <row r="40" ht="15" customHeight="1" x14ac:dyDescent="0.35"/>
    <row r="90" spans="1:3" ht="26" hidden="1" x14ac:dyDescent="0.35">
      <c r="A90" s="13" t="s">
        <v>2</v>
      </c>
      <c r="B90" s="13" t="s">
        <v>10</v>
      </c>
      <c r="C90" s="13" t="s">
        <v>4</v>
      </c>
    </row>
    <row r="91" spans="1:3" ht="26" hidden="1" x14ac:dyDescent="0.35">
      <c r="A91" s="14" t="s">
        <v>12</v>
      </c>
      <c r="B91" s="14" t="s">
        <v>36</v>
      </c>
      <c r="C91" s="14" t="s">
        <v>23</v>
      </c>
    </row>
    <row r="92" spans="1:3" ht="26" hidden="1" x14ac:dyDescent="0.35">
      <c r="A92" s="14" t="s">
        <v>43</v>
      </c>
      <c r="B92" s="14" t="s">
        <v>35</v>
      </c>
      <c r="C92" s="14" t="s">
        <v>26</v>
      </c>
    </row>
    <row r="93" spans="1:3" ht="26" hidden="1" x14ac:dyDescent="0.35">
      <c r="A93" s="14" t="s">
        <v>12</v>
      </c>
      <c r="B93" s="14" t="s">
        <v>36</v>
      </c>
      <c r="C93" s="14" t="s">
        <v>24</v>
      </c>
    </row>
    <row r="94" spans="1:3" ht="26" hidden="1" x14ac:dyDescent="0.35">
      <c r="A94" s="14" t="s">
        <v>44</v>
      </c>
      <c r="B94" s="14" t="s">
        <v>36</v>
      </c>
      <c r="C94" s="14" t="s">
        <v>23</v>
      </c>
    </row>
    <row r="95" spans="1:3" ht="26" hidden="1" x14ac:dyDescent="0.35">
      <c r="A95" s="14" t="s">
        <v>12</v>
      </c>
      <c r="B95" s="14" t="s">
        <v>35</v>
      </c>
      <c r="C95" s="14" t="s">
        <v>25</v>
      </c>
    </row>
    <row r="96" spans="1:3" hidden="1" x14ac:dyDescent="0.35"/>
    <row r="97" spans="1:6" hidden="1" x14ac:dyDescent="0.35"/>
    <row r="98" spans="1:6" hidden="1" x14ac:dyDescent="0.35">
      <c r="A98">
        <f>COUNTIFS(B91:B95,"Completed",A91:A95,"North Kerala")</f>
        <v>2</v>
      </c>
      <c r="B98" s="12" t="s">
        <v>384</v>
      </c>
      <c r="C98" s="15" t="s">
        <v>385</v>
      </c>
      <c r="D98" t="s">
        <v>386</v>
      </c>
    </row>
    <row r="99" spans="1:6" hidden="1" x14ac:dyDescent="0.35">
      <c r="A99">
        <f>COUNTIFS(B91:B95,"Completed",A91:A95,"North Kerala",C91:C95,"Hospital")</f>
        <v>1</v>
      </c>
      <c r="B99" t="s">
        <v>384</v>
      </c>
      <c r="C99" s="15" t="s">
        <v>385</v>
      </c>
      <c r="D99" t="s">
        <v>387</v>
      </c>
    </row>
    <row r="100" spans="1:6" hidden="1" x14ac:dyDescent="0.35"/>
    <row r="101" spans="1:6" hidden="1" x14ac:dyDescent="0.35"/>
    <row r="102" spans="1:6" ht="26" hidden="1" x14ac:dyDescent="0.35">
      <c r="A102" s="13" t="s">
        <v>2</v>
      </c>
      <c r="B102" s="13" t="s">
        <v>10</v>
      </c>
      <c r="C102" s="16" t="s">
        <v>388</v>
      </c>
    </row>
    <row r="103" spans="1:6" ht="26" hidden="1" x14ac:dyDescent="0.35">
      <c r="A103" s="14" t="s">
        <v>12</v>
      </c>
      <c r="B103" s="14" t="s">
        <v>36</v>
      </c>
      <c r="C103" s="17">
        <v>50</v>
      </c>
    </row>
    <row r="104" spans="1:6" ht="26" hidden="1" x14ac:dyDescent="0.35">
      <c r="A104" s="14" t="s">
        <v>12</v>
      </c>
      <c r="B104" s="14" t="s">
        <v>35</v>
      </c>
      <c r="C104" s="17">
        <v>65</v>
      </c>
      <c r="E104">
        <f>AVERAGEIF(B103:B106,"Completed",C103:C106)</f>
        <v>48.333333333333336</v>
      </c>
      <c r="F104" t="s">
        <v>393</v>
      </c>
    </row>
    <row r="105" spans="1:6" ht="26" hidden="1" x14ac:dyDescent="0.35">
      <c r="A105" s="14" t="s">
        <v>44</v>
      </c>
      <c r="B105" s="14" t="s">
        <v>36</v>
      </c>
      <c r="C105" s="17">
        <v>40</v>
      </c>
      <c r="E105">
        <f>AVERAGEIFS(C103:C106,A103:A106,"North kerala",B103:B106,"Completed")</f>
        <v>52.5</v>
      </c>
      <c r="F105" t="s">
        <v>394</v>
      </c>
    </row>
    <row r="106" spans="1:6" ht="26" hidden="1" x14ac:dyDescent="0.35">
      <c r="A106" s="14" t="s">
        <v>12</v>
      </c>
      <c r="B106" s="14" t="s">
        <v>36</v>
      </c>
      <c r="C106" s="17">
        <v>55</v>
      </c>
      <c r="E106">
        <f>AVERAGEIFS(C103:C106,B103:B106,"Completed",A103:A106,"South Kerala")</f>
        <v>40</v>
      </c>
      <c r="F106" t="s">
        <v>394</v>
      </c>
    </row>
    <row r="107" spans="1:6" hidden="1" x14ac:dyDescent="0.35"/>
    <row r="108" spans="1:6" hidden="1" x14ac:dyDescent="0.35"/>
    <row r="109" spans="1:6" hidden="1" x14ac:dyDescent="0.35">
      <c r="A109">
        <f>SUMIFS(C103:C106,A103:A106,"North Kerala",B103:B106,"Completed")</f>
        <v>105</v>
      </c>
      <c r="B109" s="15" t="s">
        <v>389</v>
      </c>
      <c r="C109" t="s">
        <v>390</v>
      </c>
    </row>
    <row r="110" spans="1:6" hidden="1" x14ac:dyDescent="0.35">
      <c r="A110">
        <f>SUMIFS(C103:C106,A103:A106,"North Kerala")</f>
        <v>170</v>
      </c>
      <c r="B110" s="15" t="s">
        <v>389</v>
      </c>
      <c r="C110" t="s">
        <v>391</v>
      </c>
    </row>
    <row r="111" spans="1:6" hidden="1" x14ac:dyDescent="0.35">
      <c r="A111">
        <f>SUMIF(B103:B106,"Completed",C103:C106)</f>
        <v>145</v>
      </c>
      <c r="B111" s="15" t="s">
        <v>392</v>
      </c>
    </row>
    <row r="112" spans="1:6" hidden="1" x14ac:dyDescent="0.35"/>
    <row r="113" spans="1:4" ht="24" hidden="1" x14ac:dyDescent="0.35">
      <c r="A113" s="18" t="s">
        <v>2</v>
      </c>
      <c r="B113" s="19" t="s">
        <v>388</v>
      </c>
    </row>
    <row r="114" spans="1:4" ht="24" hidden="1" x14ac:dyDescent="0.35">
      <c r="A114" s="20" t="s">
        <v>12</v>
      </c>
      <c r="B114" s="21">
        <v>50</v>
      </c>
    </row>
    <row r="115" spans="1:4" ht="24" hidden="1" x14ac:dyDescent="0.35">
      <c r="A115" s="20" t="s">
        <v>12</v>
      </c>
      <c r="B115" s="21">
        <v>65</v>
      </c>
    </row>
    <row r="116" spans="1:4" ht="24" hidden="1" x14ac:dyDescent="0.35">
      <c r="A116" s="20" t="s">
        <v>44</v>
      </c>
      <c r="B116" s="21">
        <v>40</v>
      </c>
    </row>
    <row r="117" spans="1:4" ht="24" hidden="1" x14ac:dyDescent="0.35">
      <c r="A117" s="20" t="s">
        <v>12</v>
      </c>
      <c r="B117" s="21">
        <v>55</v>
      </c>
    </row>
    <row r="118" spans="1:4" hidden="1" x14ac:dyDescent="0.35"/>
    <row r="119" spans="1:4" hidden="1" x14ac:dyDescent="0.35">
      <c r="A119">
        <f>AVERAGEIF(A114:A117,"North Kerala",B114:B117)</f>
        <v>56.666666666666664</v>
      </c>
      <c r="B119" t="s">
        <v>393</v>
      </c>
    </row>
    <row r="120" spans="1:4" hidden="1" x14ac:dyDescent="0.35"/>
    <row r="121" spans="1:4" hidden="1" x14ac:dyDescent="0.35"/>
    <row r="122" spans="1:4" hidden="1" x14ac:dyDescent="0.35"/>
    <row r="123" spans="1:4" hidden="1" x14ac:dyDescent="0.35">
      <c r="A123">
        <f>IFERROR(100/0,0)</f>
        <v>0</v>
      </c>
      <c r="B123" t="s">
        <v>396</v>
      </c>
    </row>
    <row r="124" spans="1:4" hidden="1" x14ac:dyDescent="0.35"/>
    <row r="125" spans="1:4" ht="39" hidden="1" x14ac:dyDescent="0.35">
      <c r="A125" s="16" t="s">
        <v>388</v>
      </c>
      <c r="B125" s="16" t="s">
        <v>395</v>
      </c>
    </row>
    <row r="126" spans="1:4" hidden="1" x14ac:dyDescent="0.35">
      <c r="A126" s="17">
        <v>100</v>
      </c>
      <c r="B126" s="17">
        <v>5</v>
      </c>
    </row>
    <row r="127" spans="1:4" hidden="1" x14ac:dyDescent="0.35">
      <c r="A127" s="17">
        <v>200</v>
      </c>
      <c r="B127" s="17">
        <v>0</v>
      </c>
      <c r="C127">
        <f>IFERROR(A127/B127,0)</f>
        <v>0</v>
      </c>
      <c r="D127" t="s">
        <v>400</v>
      </c>
    </row>
    <row r="128" spans="1:4" hidden="1" x14ac:dyDescent="0.35"/>
    <row r="129" spans="1:3" hidden="1" x14ac:dyDescent="0.35"/>
    <row r="130" spans="1:3" hidden="1" x14ac:dyDescent="0.35"/>
    <row r="131" spans="1:3" ht="26" hidden="1" x14ac:dyDescent="0.35">
      <c r="A131" s="13" t="s">
        <v>0</v>
      </c>
      <c r="B131" s="13" t="s">
        <v>1</v>
      </c>
      <c r="C131" s="16" t="s">
        <v>388</v>
      </c>
    </row>
    <row r="132" spans="1:3" ht="26" hidden="1" x14ac:dyDescent="0.35">
      <c r="A132" s="14" t="s">
        <v>47</v>
      </c>
      <c r="B132" s="14" t="s">
        <v>397</v>
      </c>
      <c r="C132" s="17">
        <v>50</v>
      </c>
    </row>
    <row r="133" spans="1:3" ht="26" hidden="1" x14ac:dyDescent="0.35">
      <c r="A133" s="14" t="s">
        <v>48</v>
      </c>
      <c r="B133" s="14" t="s">
        <v>398</v>
      </c>
      <c r="C133" s="17">
        <v>65</v>
      </c>
    </row>
    <row r="134" spans="1:3" ht="26" hidden="1" x14ac:dyDescent="0.35">
      <c r="A134" s="14" t="s">
        <v>49</v>
      </c>
      <c r="B134" s="14" t="s">
        <v>399</v>
      </c>
      <c r="C134" s="17">
        <v>40</v>
      </c>
    </row>
    <row r="135" spans="1:3" hidden="1" x14ac:dyDescent="0.35"/>
    <row r="136" spans="1:3" hidden="1" x14ac:dyDescent="0.35">
      <c r="B136" t="str">
        <f>VLOOKUP("PRJ003",A131:C134,2,TRUE)</f>
        <v>City Hospital</v>
      </c>
      <c r="C136" t="s">
        <v>401</v>
      </c>
    </row>
    <row r="137" spans="1:3" hidden="1" x14ac:dyDescent="0.35">
      <c r="B137">
        <f>VLOOKUP("PRJ002",A131:C134,3,FALSE)</f>
        <v>65</v>
      </c>
      <c r="C137" t="s">
        <v>401</v>
      </c>
    </row>
    <row r="138" spans="1:3" hidden="1" x14ac:dyDescent="0.35"/>
    <row r="139" spans="1:3" hidden="1" x14ac:dyDescent="0.35">
      <c r="B139" t="e">
        <f>VLOOKUP("PRJ999",A131:C134,2,FALSE)</f>
        <v>#N/A</v>
      </c>
    </row>
    <row r="140" spans="1:3" hidden="1" x14ac:dyDescent="0.35">
      <c r="B140" t="str">
        <f>IFERROR(VLOOKUP("PRJ999",A131:C134,2,FALSE),"Not Found")</f>
        <v>Not Found</v>
      </c>
    </row>
  </sheetData>
  <mergeCells count="22">
    <mergeCell ref="AC9:AG9"/>
    <mergeCell ref="AC10:AG10"/>
    <mergeCell ref="AC11:AG11"/>
    <mergeCell ref="AC4:AE4"/>
    <mergeCell ref="AC5:AE6"/>
    <mergeCell ref="AG4:AI4"/>
    <mergeCell ref="AG5:AI6"/>
    <mergeCell ref="A5:C6"/>
    <mergeCell ref="E5:G6"/>
    <mergeCell ref="I5:K6"/>
    <mergeCell ref="M5:O6"/>
    <mergeCell ref="A1:N2"/>
    <mergeCell ref="A4:C4"/>
    <mergeCell ref="E4:G4"/>
    <mergeCell ref="I4:K4"/>
    <mergeCell ref="M4:O4"/>
    <mergeCell ref="Q4:S4"/>
    <mergeCell ref="Q5:S6"/>
    <mergeCell ref="U4:W4"/>
    <mergeCell ref="U5:W6"/>
    <mergeCell ref="Y4:AA4"/>
    <mergeCell ref="Y5:AA6"/>
  </mergeCells>
  <pageMargins left="0.25" right="0.25" top="0.75" bottom="0.75" header="0.3" footer="0.3"/>
  <pageSetup paperSize="9" scale="4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Lists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Denisha Denny</cp:lastModifiedBy>
  <cp:lastPrinted>2026-08-15T10:52:25Z</cp:lastPrinted>
  <dcterms:created xsi:type="dcterms:W3CDTF">2015-06-05T18:17:20Z</dcterms:created>
  <dcterms:modified xsi:type="dcterms:W3CDTF">2026-08-15T10:56:34Z</dcterms:modified>
</cp:coreProperties>
</file>